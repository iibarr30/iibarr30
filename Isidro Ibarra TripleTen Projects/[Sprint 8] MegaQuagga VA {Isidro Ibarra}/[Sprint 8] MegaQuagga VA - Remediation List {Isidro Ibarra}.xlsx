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ULNERABILITY ASSESSMENT" sheetId="1" r:id="rId5"/>
    <sheet state="visible" name="Vulns by Asset" sheetId="2" r:id="rId6"/>
    <sheet state="visible" name="Top Vulnerabilities" sheetId="3" r:id="rId7"/>
    <sheet state="visible" name="Severity Distribution" sheetId="4" r:id="rId8"/>
    <sheet state="visible" name="❤️‍🩹 Remediation List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<sst xmlns="http://schemas.openxmlformats.org/spreadsheetml/2006/main" count="160" uniqueCount="109">
  <si>
    <t>👑 Asset</t>
  </si>
  <si>
    <t>🌡️ Severity</t>
  </si>
  <si>
    <t>🏆 CVSS</t>
  </si>
  <si>
    <t>🏷️ Nessus ID</t>
  </si>
  <si>
    <t>👋🏼 Name</t>
  </si>
  <si>
    <t>🧨 CVE</t>
  </si>
  <si>
    <t>🛡️ Solution</t>
  </si>
  <si>
    <t>👾 Exploitability</t>
  </si>
  <si>
    <t>💥 Impact</t>
  </si>
  <si>
    <t>🎖️ Priority</t>
  </si>
  <si>
    <r>
      <rPr>
        <rFont val="Roboto Condensed"/>
        <color rgb="FF666666"/>
        <sz val="8.0"/>
      </rPr>
      <t xml:space="preserve">The </t>
    </r>
    <r>
      <rPr>
        <rFont val="Roboto Condensed"/>
        <b/>
        <color rgb="FF666666"/>
        <sz val="8.0"/>
      </rPr>
      <t>hostname</t>
    </r>
    <r>
      <rPr>
        <rFont val="Roboto Condensed"/>
        <color rgb="FF666666"/>
        <sz val="8.0"/>
      </rPr>
      <t xml:space="preserve"> or</t>
    </r>
    <r>
      <rPr>
        <rFont val="Roboto Condensed"/>
        <b/>
        <color rgb="FF666666"/>
        <sz val="8.0"/>
      </rPr>
      <t xml:space="preserve"> IP address</t>
    </r>
    <r>
      <rPr>
        <rFont val="Roboto Condensed"/>
        <color rgb="FF666666"/>
        <sz val="8.0"/>
      </rPr>
      <t xml:space="preserve"> of affected device.</t>
    </r>
  </si>
  <si>
    <t>How dangerous the vulnerability is.</t>
  </si>
  <si>
    <t>The numerical score showing severity (0-10).</t>
  </si>
  <si>
    <t>6-digit unique ID associated with the Nessus plugin for detecting this vuln.</t>
  </si>
  <si>
    <t>The title or description of the vulnerability.</t>
  </si>
  <si>
    <t>The Common Vulnerabilities and Exposures identifier for reference.</t>
  </si>
  <si>
    <t>Recommended actions to fix the issue.</t>
  </si>
  <si>
    <t>The numerical score showing exploitability (0-10).</t>
  </si>
  <si>
    <t>The numerical score showing impact (0-10).</t>
  </si>
  <si>
    <t>Auto-calculated priority</t>
  </si>
  <si>
    <r>
      <rPr>
        <rFont val="Roboto Condensed"/>
        <b/>
        <color rgb="FF999999"/>
        <sz val="7.0"/>
      </rPr>
      <t xml:space="preserve">· </t>
    </r>
    <r>
      <rPr>
        <rFont val="Roboto Condensed"/>
        <color rgb="FF999999"/>
        <sz val="7.0"/>
      </rPr>
      <t xml:space="preserve">The </t>
    </r>
    <r>
      <rPr>
        <rFont val="Roboto Condensed"/>
        <b/>
        <color rgb="FF999999"/>
        <sz val="7.0"/>
      </rPr>
      <t xml:space="preserve">Host Information </t>
    </r>
    <r>
      <rPr>
        <rFont val="Roboto Condensed"/>
        <color rgb="FF999999"/>
        <sz val="7.0"/>
      </rPr>
      <t>section.</t>
    </r>
  </si>
  <si>
    <r>
      <rPr>
        <rFont val="Roboto Condensed"/>
        <b/>
        <color rgb="FF999999"/>
        <sz val="7.0"/>
      </rPr>
      <t>· Risk Factor</t>
    </r>
    <r>
      <rPr>
        <rFont val="Roboto Condensed"/>
        <color rgb="FF999999"/>
        <sz val="7.0"/>
      </rPr>
      <t xml:space="preserve"> section.</t>
    </r>
  </si>
  <si>
    <r>
      <rPr>
        <rFont val="Roboto Condensed"/>
        <color rgb="FF999999"/>
        <sz val="7.0"/>
      </rPr>
      <t xml:space="preserve">· </t>
    </r>
    <r>
      <rPr>
        <rFont val="Roboto Condensed"/>
        <b/>
        <color rgb="FF999999"/>
        <sz val="7.0"/>
      </rPr>
      <t>CVSS v3.0 Base Score</t>
    </r>
    <r>
      <rPr>
        <rFont val="Roboto Condensed"/>
        <color rgb="FF999999"/>
        <sz val="7.0"/>
      </rPr>
      <t xml:space="preserve"> section.</t>
    </r>
  </si>
  <si>
    <r>
      <rPr>
        <rFont val="Roboto Condensed"/>
        <color rgb="FF999999"/>
        <sz val="7.0"/>
      </rPr>
      <t xml:space="preserve">· </t>
    </r>
    <r>
      <rPr>
        <rFont val="Roboto Condensed"/>
        <b/>
        <color rgb="FF999999"/>
        <sz val="7.0"/>
      </rPr>
      <t>Plugin ID</t>
    </r>
    <r>
      <rPr>
        <rFont val="Roboto Condensed"/>
        <color rgb="FF999999"/>
        <sz val="7.0"/>
      </rPr>
      <t xml:space="preserve"> field in the vulnerability's title.</t>
    </r>
  </si>
  <si>
    <r>
      <rPr>
        <rFont val="Roboto Condensed"/>
        <color rgb="FF999999"/>
        <sz val="7.0"/>
      </rPr>
      <t xml:space="preserve">· </t>
    </r>
    <r>
      <rPr>
        <rFont val="Roboto Condensed"/>
        <b/>
        <color rgb="FF999999"/>
        <sz val="7.0"/>
      </rPr>
      <t>Plugin Name</t>
    </r>
    <r>
      <rPr>
        <rFont val="Roboto Condensed"/>
        <color rgb="FF999999"/>
        <sz val="7.0"/>
      </rPr>
      <t xml:space="preserve"> field in the vulnerability's title.</t>
    </r>
  </si>
  <si>
    <r>
      <rPr>
        <rFont val="Roboto Condensed"/>
        <color rgb="FF999999"/>
        <sz val="7.0"/>
      </rPr>
      <t xml:space="preserve">· </t>
    </r>
    <r>
      <rPr>
        <rFont val="Roboto Condensed"/>
        <b/>
        <color rgb="FF999999"/>
        <sz val="7.0"/>
      </rPr>
      <t xml:space="preserve">References </t>
    </r>
    <r>
      <rPr>
        <rFont val="Roboto Condensed"/>
        <color rgb="FF999999"/>
        <sz val="7.0"/>
      </rPr>
      <t xml:space="preserve">section, under the </t>
    </r>
    <r>
      <rPr>
        <rFont val="Roboto Condensed"/>
        <b/>
        <color rgb="FF999999"/>
        <sz val="7.0"/>
      </rPr>
      <t>CVE</t>
    </r>
    <r>
      <rPr>
        <rFont val="Roboto Condensed"/>
        <color rgb="FF999999"/>
        <sz val="7.0"/>
      </rPr>
      <t xml:space="preserve"> field.</t>
    </r>
  </si>
  <si>
    <r>
      <rPr>
        <rFont val="Roboto Condensed"/>
        <color rgb="FF999999"/>
        <sz val="7.0"/>
      </rPr>
      <t xml:space="preserve">· </t>
    </r>
    <r>
      <rPr>
        <rFont val="Roboto Condensed"/>
        <b/>
        <color rgb="FF999999"/>
        <sz val="7.0"/>
      </rPr>
      <t>Solution</t>
    </r>
    <r>
      <rPr>
        <rFont val="Roboto Condensed"/>
        <color rgb="FF999999"/>
        <sz val="7.0"/>
      </rPr>
      <t xml:space="preserve"> section.</t>
    </r>
  </si>
  <si>
    <r>
      <rPr>
        <rFont val="Roboto Condensed"/>
        <b/>
        <color rgb="FFD5A6BD"/>
        <sz val="7.0"/>
      </rPr>
      <t>ANALYSIS:</t>
    </r>
    <r>
      <rPr>
        <rFont val="Roboto Condensed"/>
        <color rgb="FFD5A6BD"/>
        <sz val="7.0"/>
      </rPr>
      <t xml:space="preserve"> "Assess 👾 Exploitability" task</t>
    </r>
  </si>
  <si>
    <r>
      <rPr>
        <rFont val="Roboto Condensed"/>
        <b/>
        <color rgb="FFD5A6BD"/>
        <sz val="7.0"/>
      </rPr>
      <t>ANALYSIS:</t>
    </r>
    <r>
      <rPr>
        <rFont val="Roboto Condensed"/>
        <color rgb="FFD5A6BD"/>
        <sz val="7.0"/>
      </rPr>
      <t xml:space="preserve"> "Assess 💥 Impact" task</t>
    </r>
  </si>
  <si>
    <r>
      <rPr>
        <rFont val="Roboto Condensed"/>
        <b/>
        <color rgb="FFD5A6BD"/>
        <sz val="7.0"/>
      </rPr>
      <t>ANALYSIS:</t>
    </r>
    <r>
      <rPr>
        <rFont val="Roboto Condensed"/>
        <color rgb="FFD5A6BD"/>
        <sz val="7.0"/>
      </rPr>
      <t xml:space="preserve"> "Assessing your vulns' 🎖️ Priority ranking" task</t>
    </r>
  </si>
  <si>
    <t>10.20.30.10 (megaquagga.local)</t>
  </si>
  <si>
    <t>Critical</t>
  </si>
  <si>
    <t>211671</t>
  </si>
  <si>
    <t>PHP 8.2.x &lt; 8.2.26 Multiple Vulnerabilities</t>
  </si>
  <si>
    <t>CVE 	CVE-2024-8929
CVE 	CVE-2024-8932
CVE 	CVE-2024-11233
CVE 	CVE-2024-11234
CVE 	CVE-2024-11236</t>
  </si>
  <si>
    <t>Upgrade to PHP version 8.2.26 or later.</t>
  </si>
  <si>
    <t>10.20.30.11</t>
  </si>
  <si>
    <t>206898 - KB5043050</t>
  </si>
  <si>
    <t>Windows 10 version 1809 / Windows Server 2019 Security Update (September 2024)</t>
  </si>
  <si>
    <t>CVE-2024-21416
CVE-2024-30073
CVE-2024-38014
CVE-2024-38045
CVE-2024-38046
CVE-2024-38119
CVE-2024-38217
CVE-2024-38230
CVE-2024-38231
CVE-2024-38234
CVE-2024-38235
CVE-2024-38236
CVE-2024-38237
CVE-2024-38238
CVE-2024-38239
CVE-2024-38240
CVE-2024-38241
CVE-2024-38242
CVE-2024-38243
CVE-2024-38244
CVE-2024-38245
CVE-2024-38247
CVE-2024-38249
CVE-2024-38250
CVE-2024-38252
CVE-2024-38254
CVE-2024-38256
CVE-2024-38257
CVE-2024-38258
CVE-2024-38260
CVE-2024-38263
CVE-2024-43454
CVE-2024-43455
CVE-2024-43461
CVE-2024-43467
CVE-2024-43487</t>
  </si>
  <si>
    <t>Apply Security Update 5043050</t>
  </si>
  <si>
    <t>208285 - KB5044277</t>
  </si>
  <si>
    <t>Windows 10 version 1809 / Windows Server 2019 Security Update (October 2024)</t>
  </si>
  <si>
    <t>CVE-2024-6197
CVE-2024-20659
CVE-2024-30092
CVE-2024-37976
CVE-2024-37979
CVE-2024-37982
CVE-2024-37983
CVE-2024-38124
CVE-2024-38149
CVE-2024-38202
CVE-2024-38212
CVE-2024-38261
CVE-2024-38262
CVE-2024-38265
CVE-2024-43453
CVE-2024-43456
CVE-2024-43501
CVE-2024-43502
CVE-2024-43506
CVE-2024-43509
CVE-2024-43511
CVE-2024-43512
CVE-2024-43513
CVE-2024-43514
CVE-2024-43515
CVE-2024-43516
CVE-2024-43517
CVE-2024-43518
CVE-2024-43519
CVE-2024-43520
CVE-2024-43521
CVE-2024-43523
CVE-2024-43524
CVE-2024-43525
CVE-2024-43526
CVE-2024-43528
CVE-2024-43532
CVE-2024-43534
CVE-2024-43535
CVE-2024-43536
CVE-2024-43537
CVE-2024-43538
CVE-2024-43540
CVE-2024-43541
CVE-2024-43542
CVE-2024-43543
CVE-2024-43544
CVE-2024-43545
CVE-2024-43547
CVE-2024-43549
CVE-2024-43550
CVE-2024-43551
CVE-2024-43553
CVE-2024-43554
CVE-2024-43555
CVE-2024-43556
CVE-2024-43557
CVE-2024-43558
CVE-2024-43559
CVE-2024-43560
CVE-2024-43561
CVE-2024-43562
CVE-2024-43563
CVE-2024-43564
CVE-2024-43565
CVE-2024-43567
CVE-2024-43570
CVE-2024-43572
CVE-2024-43573
CVE-2024-43575
CVE-2024-43581
CVE-2024-43582
CVE-2024-43583
CVE-2024-43585
CVE-2024-43589
CVE-2024-43592
CVE-2024-43593
CVE-2024-43599
CVE-2024-43607
CVE-2024-43608
CVE-2024-43611
CVE-2024-43615</t>
  </si>
  <si>
    <t>Apply Security Update 5044277</t>
  </si>
  <si>
    <t>210860 - KB5046615</t>
  </si>
  <si>
    <t>Windows 10 version 1809 / Windows Server 2019 Security Update (November 2024)</t>
  </si>
  <si>
    <t>CVE-2024-38203
CVE-2024-43449
CVE-2024-43450
CVE-2024-43451
CVE-2024-43452
CVE-2024-43620
CVE-2024-43621
CVE-2024-43622
CVE-2024-43623
CVE-2024-43624
CVE-2024-43626
CVE-2024-43627
CVE-2024-43628
CVE-2024-43629
CVE-2024-43634
CVE-2024-43635
CVE-2024-43636
CVE-2024-43637
CVE-2024-43638
CVE-2024-43639
CVE-2024-43641
CVE-2024-43643
CVE-2024-43644
CVE-2024-43645
CVE-2024-43646
CVE-2024-49019
CVE-2024-49039
CVE-2024-49046</t>
  </si>
  <si>
    <t>Apply Security Update 5046615</t>
  </si>
  <si>
    <t>58987</t>
  </si>
  <si>
    <t>PHP Unsupported Version Detection</t>
  </si>
  <si>
    <t>Upgrade to a version of PHP that is currently supported.</t>
  </si>
  <si>
    <t>212239 - KB5048661</t>
  </si>
  <si>
    <t>Windows 10 version 1809 / Windows Server 2019 Security Update (December 2024)</t>
  </si>
  <si>
    <t>CVE-2024-49072
CVE-2024-49073
CVE-2024-49074
CVE-2024-49075
CVE-2024-49076
CVE-2024-49077
CVE-2024-49078
CVE-2024-49079
CVE-2024-49080
CVE-2024-49081
CVE-2024-49082
CVE-2024-49083
CVE-2024-49084
CVE-2024-49085
CVE-2024-49086
CVE-2024-49087
CVE-2024-49088
CVE-2024-49089
CVE-2024-49090
CVE-2024-49091
CVE-2024-49092
CVE-2024-49094
CVE-2024-49095
CVE-2024-49096
CVE-2024-49097
CVE-2024-49098
CVE-2024-49099
CVE-2024-49101
CVE-2024-49102
CVE-2024-49103
CVE-2024-49104
CVE-2024-49106
CVE-2024-49107
CVE-2024-49108
CVE-2024-49109
CVE-2024-49110
CVE-2024-49111
CVE-2024-49112
CVE-2024-49113
CVE-2024-49114
CVE-2024-49115
CVE-2024-49116
CVE-2024-49118
CVE-2024-49119
CVE-2024-49120
CVE-2024-49121
CVE-2024-49122
CVE-2024-49123
CVE-2024-49124
CVE-2024-49125
CVE-2024-49126
CVE-2024-49127
CVE-2024-49128
CVE-2024-49129
CVE-2024-49132
CVE-2024-49138</t>
  </si>
  <si>
    <t>Apply Security Update 5048661</t>
  </si>
  <si>
    <t>10.20.30.12</t>
  </si>
  <si>
    <t>211522</t>
  </si>
  <si>
    <t>Ubuntu 16.04 LTS / 18.04 LTS / 20.04 LTS / 22.04 LTS / 24.04 LTS : GLib vulnerability (USN-7114-1)</t>
  </si>
  <si>
    <t>CVE 	CVE-2024-52533</t>
  </si>
  <si>
    <t>Update the affected packages.</t>
  </si>
  <si>
    <t>213189</t>
  </si>
  <si>
    <t>Ubuntu 20.04 LTS / 22.04 LTS / 24.04 LTS / 24.10 : GStreamer vulnerability (USN-7174-1)</t>
  </si>
  <si>
    <t>CVE 	CVE-2024-47606</t>
  </si>
  <si>
    <t>209121</t>
  </si>
  <si>
    <t>Ubuntu 14.04 LTS / 16.04 LTS / 18.04 LTS / 20.04 LTS / 22.04 LTS / 24.04 LTS : libarchive vulnerabilities (USN-7070-1)</t>
  </si>
  <si>
    <t>CVE 	CVE-2022-36227
CVE 	CVE-2024-48957
CVE 	CVE-2024-48958</t>
  </si>
  <si>
    <t>205548</t>
  </si>
  <si>
    <t>Ubuntu 20.04 LTS / 22.04 LTS / 24.04 LTS : BusyBox vulnerabilities (USN-6961-1)</t>
  </si>
  <si>
    <t>CVE 	CVE-2022-48174
CVE 	CVE-2023-42363
CVE 	CVE-2023-42364
CVE 	CVE-2023-42365</t>
  </si>
  <si>
    <t xml:space="preserve">207059 </t>
  </si>
  <si>
    <t>Ubuntu 14.04 LTS / 16.04 LTS / 18.04 LTS / 20.04 LTS / 24.04 LTS : Expat vulnerabilities (USN-7000-1)</t>
  </si>
  <si>
    <t>CVE 	CVE-2024-45490
CVE 	CVE-2024-45491
CVE 	CVE-2024-45492</t>
  </si>
  <si>
    <t>207822</t>
  </si>
  <si>
    <t>PHP 8.2.x &lt; 8.2.24 Multiple Vulnerabilities</t>
  </si>
  <si>
    <t>CVE 	CVE-2024-4577
CVE 	CVE-2024-8925
CVE 	CVE-2024-8926
CVE 	CVE-2024-8927
CVE 	CVE-2024-9026</t>
  </si>
  <si>
    <t>Upgrade to PHP version 8.2.24 or later.</t>
  </si>
  <si>
    <t>High</t>
  </si>
  <si>
    <t>205195</t>
  </si>
  <si>
    <t>Ubuntu 14.04 LTS / 16.04 LTS / 18.04 LTS / 20.04 LTS / 22.04 LTS / 24.04 LTS : Kerberos vulnerabilities (USN-6947-1)</t>
  </si>
  <si>
    <t>CVE 	CVE-2024-37370
CVE 	CVE-2024-37371</t>
  </si>
  <si>
    <t>179906</t>
  </si>
  <si>
    <t>PHP 8.2.x &lt; 8.2.9 Multiple Vulnerabilities</t>
  </si>
  <si>
    <t>CVE 	CVE-2023-3823
CVE 	CVE-2023-3824</t>
  </si>
  <si>
    <t>Upgrade to PHP version 8.2.9 or later.</t>
  </si>
  <si>
    <t>201198</t>
  </si>
  <si>
    <t>Apache 2.4.x &lt; 2.4.60 Multiple Vulnerabilities</t>
  </si>
  <si>
    <t>CVE         CVE-2024-36387
CVE         CVE-2024-38472
CVE         CVE-2024-38473
CVE         CVE-2024-38474
CVE         CVE-2024-38475
CVE         CVE-2024-38476
CVE         CVE-2024-38477
CVE         CVE-2024-39573</t>
  </si>
  <si>
    <t>Upgrade to Apache version 2.4.60 or later.</t>
  </si>
  <si>
    <t>204924</t>
  </si>
  <si>
    <t>Ubuntu 20.04 LTS / 22.04 LTS / 24.04 LTS : OpenSSL vulnerabilities (USN-6937-1)</t>
  </si>
  <si>
    <t>CVE 	CVE-2024-2511
CVE 	CVE-2024-4603
CVE 	CVE-2024-4741
CVE 	CVE-2024-5535</t>
  </si>
  <si>
    <t>200162</t>
  </si>
  <si>
    <t>PHP 8.2.x &lt; 8.2.20 Multiple Vulnerabilities</t>
  </si>
  <si>
    <t>CVE 	CVE-2024-4577
CVE 	CVE-2024-5458
CVE 	CVE-2024-5585</t>
  </si>
  <si>
    <t>Upgrade to PHP version 8.2.20 or later.</t>
  </si>
  <si>
    <t>205461-- KB5041578</t>
  </si>
  <si>
    <t>Windows 10 version 1809 / Windows Server 2019 Security Update (August 2024)</t>
  </si>
  <si>
    <t>CVE-2022-2601
CVE-2022-3775
CVE-2023-40547
CVE-2024-21302
CVE-2024-29995
CVE-2024-37968
CVE-2024-38063
CVE-2024-38106
CVE-2024-38107
CVE-2024-38114
CVE-2024-38115
CVE-2024-38116
CVE-2024-38117
CVE-2024-38118
CVE-2024-38120
CVE-2024-38121
CVE-2024-38122
CVE-2024-38125
CVE-2024-38126
CVE-2024-38127
CVE-2024-38128
CVE-2024-38130
CVE-2024-38131
CVE-2024-38132
CVE-2024-38133
CVE-2024-38134
CVE-2024-38136
CVE-2024-38138
CVE-2024-38140
CVE-2024-38141
CVE-2024-38142
CVE-2024-38143
CVE-2024-38144
CVE-2024-38145
CVE-2024-38146
CVE-2024-38151
CVE-2024-38152
CVE-2024-38153
CVE-2024-38154
CVE-2024-38155
CVE-2024-38178
CVE-2024-38180
CVE-2024-38193
CVE-2024-38196
CVE-2024-38198
CVE-2024-38199
CVE-2024-38214
CVE-2024-38215
CVE-2024-38223</t>
  </si>
  <si>
    <t>Apply Security Update 5041578</t>
  </si>
  <si>
    <t>Asset</t>
  </si>
  <si>
    <t>Vuln count</t>
  </si>
  <si>
    <t>Grand Total</t>
  </si>
  <si>
    <t>Severity</t>
  </si>
  <si>
    <t>Count</t>
  </si>
  <si>
    <t>Medium</t>
  </si>
  <si>
    <t>Low</t>
  </si>
  <si>
    <t>Informational</t>
  </si>
  <si>
    <t>❤️‍🩹 Remediation 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</si>
</sst>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0.0"/>
      <color rgb="FF000000"/>
      <name val="Roboto"/>
      <scheme val="minor"/>
    </font>
    <font>
      <b/>
      <color rgb="FFFFFFFF"/>
      <name val="Roboto Condensed"/>
    </font>
    <font>
      <sz val="8.0"/>
      <color rgb="FF666666"/>
      <name val="Roboto Condensed"/>
    </font>
    <font>
      <sz val="8.0"/>
      <color rgb="FFA64D79"/>
      <name val="Roboto Condensed"/>
    </font>
    <font>
      <sz val="7.0"/>
      <color rgb="FF999999"/>
      <name val="Roboto Condensed"/>
    </font>
    <font>
      <sz val="7.0"/>
      <color rgb="FFD5A6BD"/>
      <name val="Roboto Condensed"/>
    </font>
    <font>
      <color theme="1"/>
      <name val="Roboto Condensed"/>
    </font>
    <font>
      <color rgb="FF333333"/>
      <name val="Roboto Condensed"/>
    </font>
    <font>
      <b/>
      <color theme="1"/>
      <name val="Roboto Condensed"/>
    </font>
    <font>
      <sz val="10.0"/>
      <color rgb="FF000000"/>
      <name val="Roboto Condensed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1" numFmtId="164" xfId="0" applyAlignment="1" applyFont="1" applyNumberFormat="1">
      <alignment readingOrder="0" shrinkToFit="0" vertical="top" wrapText="1"/>
    </xf>
    <xf borderId="0" fillId="2" fontId="1" numFmtId="49" xfId="0" applyAlignment="1" applyFont="1" applyNumberFormat="1">
      <alignment readingOrder="0" shrinkToFit="0" vertical="top" wrapText="1"/>
    </xf>
    <xf borderId="0" fillId="2" fontId="1" numFmtId="164" xfId="0" applyAlignment="1" applyFont="1" applyNumberFormat="1">
      <alignment readingOrder="0" shrinkToFit="0" vertical="top" wrapText="1"/>
    </xf>
    <xf borderId="0" fillId="2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164" xfId="0" applyAlignment="1" applyFont="1" applyNumberFormat="1">
      <alignment readingOrder="0" shrinkToFit="0" vertical="top" wrapText="1"/>
    </xf>
    <xf borderId="0" fillId="0" fontId="2" numFmtId="49" xfId="0" applyAlignment="1" applyFont="1" applyNumberFormat="1">
      <alignment readingOrder="0" shrinkToFit="0" vertical="top" wrapText="1"/>
    </xf>
    <xf borderId="0" fillId="0" fontId="3" numFmtId="164" xfId="0" applyAlignment="1" applyFont="1" applyNumberFormat="1">
      <alignment readingOrder="0" shrinkToFit="0" vertical="top" wrapText="1"/>
    </xf>
    <xf borderId="0" fillId="0" fontId="3" numFmtId="164" xfId="0" applyAlignment="1" applyFont="1" applyNumberForma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164" xfId="0" applyAlignment="1" applyFont="1" applyNumberFormat="1">
      <alignment readingOrder="0" shrinkToFit="0" vertical="top" wrapText="1"/>
    </xf>
    <xf borderId="0" fillId="0" fontId="4" numFmtId="49" xfId="0" applyAlignment="1" applyFont="1" applyNumberFormat="1">
      <alignment readingOrder="0" shrinkToFit="0" vertical="top" wrapText="1"/>
    </xf>
    <xf borderId="0" fillId="0" fontId="5" numFmtId="164" xfId="0" applyAlignment="1" applyFont="1" applyNumberFormat="1">
      <alignment readingOrder="0" shrinkToFit="0" vertical="top" wrapText="1"/>
    </xf>
    <xf borderId="0" fillId="0" fontId="5" numFmtId="164" xfId="0" applyAlignment="1" applyFont="1" applyNumberForma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6" numFmtId="164" xfId="0" applyAlignment="1" applyFont="1" applyNumberFormat="1">
      <alignment readingOrder="0" shrinkToFit="0" vertical="top" wrapText="1"/>
    </xf>
    <xf borderId="0" fillId="0" fontId="6" numFmtId="49" xfId="0" applyAlignment="1" applyFont="1" applyNumberFormat="1">
      <alignment readingOrder="0" shrinkToFit="0" vertical="top" wrapText="1"/>
    </xf>
    <xf borderId="0" fillId="0" fontId="6" numFmtId="164" xfId="0" applyAlignment="1" applyFont="1" applyNumberForma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164" xfId="0" applyAlignment="1" applyFont="1" applyNumberFormat="1">
      <alignment readingOrder="0" shrinkToFit="0" vertical="top" wrapText="1"/>
    </xf>
    <xf borderId="0" fillId="0" fontId="6" numFmtId="0" xfId="0" applyFont="1"/>
    <xf borderId="0" fillId="2" fontId="1" numFmtId="0" xfId="0" applyAlignment="1" applyFont="1">
      <alignment shrinkToFit="0" vertical="top" wrapText="1"/>
    </xf>
    <xf borderId="0" fillId="2" fontId="1" numFmtId="49" xfId="0" applyAlignment="1" applyFont="1" applyNumberFormat="1">
      <alignment shrinkToFit="0" vertical="top" wrapText="1"/>
    </xf>
    <xf borderId="0" fillId="0" fontId="6" numFmtId="0" xfId="0" applyAlignment="1" applyFont="1">
      <alignment vertical="top"/>
    </xf>
    <xf borderId="0" fillId="0" fontId="6" numFmtId="49" xfId="0" applyAlignment="1" applyFont="1" applyNumberFormat="1">
      <alignment shrinkToFit="0" vertical="top" wrapText="1"/>
    </xf>
    <xf borderId="0" fillId="0" fontId="6" numFmtId="164" xfId="0" applyAlignment="1" applyFont="1" applyNumberFormat="1">
      <alignment horizontal="right" shrinkToFit="0" vertical="top" wrapText="1"/>
    </xf>
    <xf borderId="0" fillId="0" fontId="8" numFmtId="0" xfId="0" applyAlignment="1" applyFont="1">
      <alignment vertical="top"/>
    </xf>
    <xf borderId="0" fillId="0" fontId="6" numFmtId="49" xfId="0" applyAlignment="1" applyFont="1" applyNumberFormat="1">
      <alignment vertical="top"/>
    </xf>
    <xf borderId="0" fillId="0" fontId="6" numFmtId="164" xfId="0" applyAlignment="1" applyFont="1" applyNumberFormat="1">
      <alignment vertical="top"/>
    </xf>
    <xf borderId="0" fillId="0" fontId="8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9" numFmtId="49" xfId="0" applyAlignment="1" applyFont="1" applyNumberFormat="1">
      <alignment shrinkToFit="0" vertical="top" wrapText="1"/>
    </xf>
  </cellXfs>
  <cellStyles count="1">
    <cellStyle xfId="0" name="Normal" builtinId="0"/>
  </cellStyles>
  <dxfs count="5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Vulnerabilities by Asset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00FF"/>
              </a:solidFill>
            </c:spPr>
          </c:dPt>
          <c:dPt>
            <c:idx val="1"/>
            <c:spPr>
              <a:solidFill>
                <a:srgbClr val="0000FF"/>
              </a:solidFill>
            </c:spPr>
          </c:dPt>
          <c:dPt>
            <c:idx val="2"/>
            <c:spPr>
              <a:solidFill>
                <a:srgbClr val="00FF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'Vulns by Asset'!$A$2:$A$4</c:f>
            </c:strRef>
          </c:cat>
          <c:val>
            <c:numRef>
              <c:f>'Vulns by Asset'!$B$2:$B$4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Vulnerabilities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'Top Vulnerabilities'!$D$1</c:f>
            </c:strRef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9900FF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9900FF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9900FF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9900FF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9900F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'Top Vulnerabilities'!$B$2:$B$1000</c:f>
            </c:strRef>
          </c:cat>
          <c:val>
            <c:numRef>
              <c:f>'Top Vulnerabilities'!$D$2:$D$1000</c:f>
              <c:numCache/>
            </c:numRef>
          </c:val>
        </c:ser>
        <c:ser>
          <c:idx val="1"/>
          <c:order val="1"/>
          <c:tx>
            <c:strRef>
              <c:f>'Top Vulnerabilities'!$C$1</c:f>
            </c:strRef>
          </c:tx>
          <c:cat>
            <c:strRef>
              <c:f>'Top Vulnerabilities'!$B$2:$B$1000</c:f>
            </c:strRef>
          </c:cat>
          <c:val>
            <c:numRef>
              <c:f>'Top Vulnerabilities'!$C$2:$C$1000</c:f>
              <c:numCache/>
            </c:numRef>
          </c:val>
        </c:ser>
        <c:ser>
          <c:idx val="2"/>
          <c:order val="2"/>
          <c:tx>
            <c:strRef>
              <c:f>'Top Vulnerabilities'!$D$1</c:f>
            </c:strRef>
          </c:tx>
          <c:cat>
            <c:strRef>
              <c:f>'Top Vulnerabilities'!$B$2:$B$1000</c:f>
            </c:strRef>
          </c:cat>
          <c:val>
            <c:numRef>
              <c:f>'Top Vulnerabilities'!$D$2:$D$1000</c:f>
              <c:numCache/>
            </c:numRef>
          </c:val>
        </c:ser>
        <c:ser>
          <c:idx val="3"/>
          <c:order val="3"/>
          <c:tx>
            <c:strRef>
              <c:f>'Top Vulnerabilities'!$E$1</c:f>
            </c:strRef>
          </c:tx>
          <c:cat>
            <c:strRef>
              <c:f>'Top Vulnerabilities'!$B$2:$B$1000</c:f>
            </c:strRef>
          </c:cat>
          <c:val>
            <c:numRef>
              <c:f>'Top Vulnerabilities'!$E$2:$E$1000</c:f>
              <c:numCache/>
            </c:numRef>
          </c:val>
        </c:ser>
        <c:ser>
          <c:idx val="4"/>
          <c:order val="4"/>
          <c:tx>
            <c:strRef>
              <c:f>'Top Vulnerabilities'!$F$1</c:f>
            </c:strRef>
          </c:tx>
          <c:cat>
            <c:strRef>
              <c:f>'Top Vulnerabilities'!$B$2:$B$1000</c:f>
            </c:strRef>
          </c:cat>
          <c:val>
            <c:numRef>
              <c:f>'Top Vulnerabilities'!$F$2:$F$1000</c:f>
              <c:numCache/>
            </c:numRef>
          </c:val>
        </c:ser>
        <c:ser>
          <c:idx val="5"/>
          <c:order val="5"/>
          <c:tx>
            <c:strRef>
              <c:f>'Top Vulnerabilities'!$G$1</c:f>
            </c:strRef>
          </c:tx>
          <c:cat>
            <c:strRef>
              <c:f>'Top Vulnerabilities'!$B$2:$B$1000</c:f>
            </c:strRef>
          </c:cat>
          <c:val>
            <c:numRef>
              <c:f>'Top Vulnerabilities'!$G$2:$G$1000</c:f>
              <c:numCache/>
            </c:numRef>
          </c:val>
        </c:ser>
        <c:ser>
          <c:idx val="6"/>
          <c:order val="6"/>
          <c:tx>
            <c:strRef>
              <c:f>'Top Vulnerabilities'!$H$1</c:f>
            </c:strRef>
          </c:tx>
          <c:cat>
            <c:strRef>
              <c:f>'Top Vulnerabilities'!$B$2:$B$1000</c:f>
            </c:strRef>
          </c:cat>
          <c:val>
            <c:numRef>
              <c:f>'Top Vulnerabilities'!$H$2:$H$1000</c:f>
              <c:numCache/>
            </c:numRef>
          </c:val>
        </c:ser>
        <c:ser>
          <c:idx val="7"/>
          <c:order val="7"/>
          <c:tx>
            <c:strRef>
              <c:f>'Top Vulnerabilities'!$I$1</c:f>
            </c:strRef>
          </c:tx>
          <c:cat>
            <c:strRef>
              <c:f>'Top Vulnerabilities'!$B$2:$B$1000</c:f>
            </c:strRef>
          </c:cat>
          <c:val>
            <c:numRef>
              <c:f>'Top Vulnerabilities'!$I$2:$I$1000</c:f>
              <c:numCache/>
            </c:numRef>
          </c:val>
        </c:ser>
        <c:ser>
          <c:idx val="8"/>
          <c:order val="8"/>
          <c:tx>
            <c:strRef>
              <c:f>'Top Vulnerabilities'!$J$1</c:f>
            </c:strRef>
          </c:tx>
          <c:cat>
            <c:strRef>
              <c:f>'Top Vulnerabilities'!$B$2:$B$1000</c:f>
            </c:strRef>
          </c:cat>
          <c:val>
            <c:numRef>
              <c:f>'Top Vulnerabilities'!$J$2:$J$1000</c:f>
              <c:numCache/>
            </c:numRef>
          </c:val>
        </c:ser>
        <c:ser>
          <c:idx val="9"/>
          <c:order val="9"/>
          <c:tx>
            <c:strRef>
              <c:f>'Top Vulnerabilities'!$K$1</c:f>
            </c:strRef>
          </c:tx>
          <c:cat>
            <c:strRef>
              <c:f>'Top Vulnerabilities'!$B$2:$B$1000</c:f>
            </c:strRef>
          </c:cat>
          <c:val>
            <c:numRef>
              <c:f>'Top Vulnerabilities'!$K$2:$K$1000</c:f>
              <c:numCache/>
            </c:numRef>
          </c:val>
        </c:ser>
        <c:ser>
          <c:idx val="10"/>
          <c:order val="10"/>
          <c:tx>
            <c:strRef>
              <c:f>'Top Vulnerabilities'!$L$1</c:f>
            </c:strRef>
          </c:tx>
          <c:cat>
            <c:strRef>
              <c:f>'Top Vulnerabilities'!$B$2:$B$1000</c:f>
            </c:strRef>
          </c:cat>
          <c:val>
            <c:numRef>
              <c:f>'Top Vulnerabilities'!$L$2:$L$1000</c:f>
              <c:numCache/>
            </c:numRef>
          </c:val>
        </c:ser>
        <c:ser>
          <c:idx val="11"/>
          <c:order val="11"/>
          <c:tx>
            <c:strRef>
              <c:f>'Top Vulnerabilities'!$M$1</c:f>
            </c:strRef>
          </c:tx>
          <c:cat>
            <c:strRef>
              <c:f>'Top Vulnerabilities'!$B$2:$B$1000</c:f>
            </c:strRef>
          </c:cat>
          <c:val>
            <c:numRef>
              <c:f>'Top Vulnerabilities'!$M$2:$M$1000</c:f>
              <c:numCache/>
            </c:numRef>
          </c:val>
        </c:ser>
        <c:ser>
          <c:idx val="12"/>
          <c:order val="12"/>
          <c:tx>
            <c:strRef>
              <c:f>'Top Vulnerabilities'!$N$1</c:f>
            </c:strRef>
          </c:tx>
          <c:cat>
            <c:strRef>
              <c:f>'Top Vulnerabilities'!$B$2:$B$1000</c:f>
            </c:strRef>
          </c:cat>
          <c:val>
            <c:numRef>
              <c:f>'Top Vulnerabilities'!$N$2:$N$1000</c:f>
              <c:numCache/>
            </c:numRef>
          </c:val>
        </c:ser>
        <c:ser>
          <c:idx val="13"/>
          <c:order val="13"/>
          <c:tx>
            <c:strRef>
              <c:f>'Top Vulnerabilities'!$O$1</c:f>
            </c:strRef>
          </c:tx>
          <c:cat>
            <c:strRef>
              <c:f>'Top Vulnerabilities'!$B$2:$B$1000</c:f>
            </c:strRef>
          </c:cat>
          <c:val>
            <c:numRef>
              <c:f>'Top Vulnerabilities'!$O$2:$O$1000</c:f>
              <c:numCache/>
            </c:numRef>
          </c:val>
        </c:ser>
        <c:ser>
          <c:idx val="14"/>
          <c:order val="14"/>
          <c:tx>
            <c:strRef>
              <c:f>'Top Vulnerabilities'!$P$1</c:f>
            </c:strRef>
          </c:tx>
          <c:cat>
            <c:strRef>
              <c:f>'Top Vulnerabilities'!$B$2:$B$1000</c:f>
            </c:strRef>
          </c:cat>
          <c:val>
            <c:numRef>
              <c:f>'Top Vulnerabilities'!$P$2:$P$1000</c:f>
              <c:numCache/>
            </c:numRef>
          </c:val>
        </c:ser>
        <c:ser>
          <c:idx val="15"/>
          <c:order val="15"/>
          <c:tx>
            <c:strRef>
              <c:f>'Top Vulnerabilities'!$Q$1</c:f>
            </c:strRef>
          </c:tx>
          <c:cat>
            <c:strRef>
              <c:f>'Top Vulnerabilities'!$B$2:$B$1000</c:f>
            </c:strRef>
          </c:cat>
          <c:val>
            <c:numRef>
              <c:f>'Top Vulnerabilities'!$Q$2:$Q$1000</c:f>
              <c:numCache/>
            </c:numRef>
          </c:val>
        </c:ser>
        <c:ser>
          <c:idx val="16"/>
          <c:order val="16"/>
          <c:tx>
            <c:strRef>
              <c:f>'Top Vulnerabilities'!$R$1</c:f>
            </c:strRef>
          </c:tx>
          <c:cat>
            <c:strRef>
              <c:f>'Top Vulnerabilities'!$B$2:$B$1000</c:f>
            </c:strRef>
          </c:cat>
          <c:val>
            <c:numRef>
              <c:f>'Top Vulnerabilities'!$R$2:$R$1000</c:f>
              <c:numCache/>
            </c:numRef>
          </c:val>
        </c:ser>
        <c:ser>
          <c:idx val="17"/>
          <c:order val="17"/>
          <c:tx>
            <c:strRef>
              <c:f>'Top Vulnerabilities'!$S$1</c:f>
            </c:strRef>
          </c:tx>
          <c:cat>
            <c:strRef>
              <c:f>'Top Vulnerabilities'!$B$2:$B$1000</c:f>
            </c:strRef>
          </c:cat>
          <c:val>
            <c:numRef>
              <c:f>'Top Vulnerabilities'!$S$2:$S$1000</c:f>
              <c:numCache/>
            </c:numRef>
          </c:val>
        </c:ser>
        <c:ser>
          <c:idx val="18"/>
          <c:order val="18"/>
          <c:tx>
            <c:strRef>
              <c:f>'Top Vulnerabilities'!$T$1</c:f>
            </c:strRef>
          </c:tx>
          <c:cat>
            <c:strRef>
              <c:f>'Top Vulnerabilities'!$B$2:$B$1000</c:f>
            </c:strRef>
          </c:cat>
          <c:val>
            <c:numRef>
              <c:f>'Top Vulnerabilities'!$T$2:$T$1000</c:f>
              <c:numCache/>
            </c:numRef>
          </c:val>
        </c:ser>
        <c:ser>
          <c:idx val="19"/>
          <c:order val="19"/>
          <c:tx>
            <c:strRef>
              <c:f>'Top Vulnerabilities'!$U$1</c:f>
            </c:strRef>
          </c:tx>
          <c:cat>
            <c:strRef>
              <c:f>'Top Vulnerabilities'!$B$2:$B$1000</c:f>
            </c:strRef>
          </c:cat>
          <c:val>
            <c:numRef>
              <c:f>'Top Vulnerabilities'!$U$2:$U$1000</c:f>
              <c:numCache/>
            </c:numRef>
          </c:val>
        </c:ser>
        <c:ser>
          <c:idx val="20"/>
          <c:order val="20"/>
          <c:tx>
            <c:strRef>
              <c:f>'Top Vulnerabilities'!$V$1</c:f>
            </c:strRef>
          </c:tx>
          <c:cat>
            <c:strRef>
              <c:f>'Top Vulnerabilities'!$B$2:$B$1000</c:f>
            </c:strRef>
          </c:cat>
          <c:val>
            <c:numRef>
              <c:f>'Top Vulnerabilities'!$V$2:$V$1000</c:f>
              <c:numCache/>
            </c:numRef>
          </c:val>
        </c:ser>
        <c:ser>
          <c:idx val="21"/>
          <c:order val="21"/>
          <c:tx>
            <c:strRef>
              <c:f>'Top Vulnerabilities'!$W$1</c:f>
            </c:strRef>
          </c:tx>
          <c:cat>
            <c:strRef>
              <c:f>'Top Vulnerabilities'!$B$2:$B$1000</c:f>
            </c:strRef>
          </c:cat>
          <c:val>
            <c:numRef>
              <c:f>'Top Vulnerabilities'!$W$2:$W$1000</c:f>
              <c:numCache/>
            </c:numRef>
          </c:val>
        </c:ser>
        <c:ser>
          <c:idx val="22"/>
          <c:order val="22"/>
          <c:tx>
            <c:strRef>
              <c:f>'Top Vulnerabilities'!$X$1</c:f>
            </c:strRef>
          </c:tx>
          <c:cat>
            <c:strRef>
              <c:f>'Top Vulnerabilities'!$B$2:$B$1000</c:f>
            </c:strRef>
          </c:cat>
          <c:val>
            <c:numRef>
              <c:f>'Top Vulnerabilities'!$X$2:$X$1000</c:f>
              <c:numCache/>
            </c:numRef>
          </c:val>
        </c:ser>
        <c:ser>
          <c:idx val="23"/>
          <c:order val="23"/>
          <c:tx>
            <c:strRef>
              <c:f>'Top Vulnerabilities'!$Y$1</c:f>
            </c:strRef>
          </c:tx>
          <c:cat>
            <c:strRef>
              <c:f>'Top Vulnerabilities'!$B$2:$B$1000</c:f>
            </c:strRef>
          </c:cat>
          <c:val>
            <c:numRef>
              <c:f>'Top Vulnerabilities'!$Y$2:$Y$1000</c:f>
              <c:numCache/>
            </c:numRef>
          </c:val>
        </c:ser>
        <c:ser>
          <c:idx val="24"/>
          <c:order val="24"/>
          <c:tx>
            <c:strRef>
              <c:f>'Top Vulnerabilities'!$Z$1</c:f>
            </c:strRef>
          </c:tx>
          <c:cat>
            <c:strRef>
              <c:f>'Top Vulnerabilities'!$B$2:$B$1000</c:f>
            </c:strRef>
          </c:cat>
          <c:val>
            <c:numRef>
              <c:f>'Top Vulnerabilities'!$Z$2:$Z$1000</c:f>
              <c:numCache/>
            </c:numRef>
          </c:val>
        </c:ser>
        <c:axId val="632627577"/>
        <c:axId val="1864309308"/>
      </c:barChart>
      <c:catAx>
        <c:axId val="632627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4309308"/>
      </c:catAx>
      <c:valAx>
        <c:axId val="18643093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26275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295275</xdr:colOff>
      <xdr:row>0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1</xdr:row>
      <xdr:rowOff>0</xdr:rowOff>
    </xdr:from>
    <xdr:ext cx="10248900" cy="6200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B21" sheet="VULNERABILITY ASSESSMENT"/>
  </cacheSource>
  <cacheFields>
    <cacheField name="10.20.30.10 (megaquagga.local)" numFmtId="0">
      <sharedItems>
        <s v="10.20.30.11"/>
        <s v="10.20.30.10 (megaquagga.local)"/>
        <s v="10.20.30.12"/>
      </sharedItems>
    </cacheField>
    <cacheField name="Critical" numFmtId="0">
      <sharedItems>
        <s v="Critical"/>
        <s v="High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Vulns by Asset" cacheId="0" dataCaption="" compact="0" compactData="0">
  <location ref="A1:B5" firstHeaderRow="0" firstDataRow="1" firstDataCol="0"/>
  <pivotFields>
    <pivotField name="Asset" axis="axisRow" compact="0" outline="0" multipleItemSelectionAllowed="1" showAll="0" sortType="ascending">
      <items>
        <item x="1"/>
        <item x="0"/>
        <item x="2"/>
        <item t="default"/>
      </items>
    </pivotField>
    <pivotField name="Critical" dataField="1" compact="0" outline="0" multipleItemSelectionAllowed="1" showAll="0">
      <items>
        <item x="0"/>
        <item x="1"/>
        <item t="default"/>
      </items>
    </pivotField>
  </pivotFields>
  <rowFields>
    <field x="0"/>
  </rowFields>
  <dataFields>
    <dataField name="Vuln count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0.0"/>
    <col customWidth="1" min="2" max="2" width="17.5"/>
    <col customWidth="1" min="3" max="3" width="10.75"/>
    <col customWidth="1" min="4" max="4" width="13.0"/>
    <col customWidth="1" min="5" max="5" width="26.75"/>
    <col customWidth="1" min="6" max="6" width="19.88"/>
    <col customWidth="1" min="7" max="7" width="14.75"/>
    <col customWidth="1" min="8" max="9" width="14.13"/>
    <col customWidth="1" min="10" max="10" width="15.25"/>
    <col customWidth="1" min="11" max="11" width="28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33.0" customHeight="1">
      <c r="A2" s="6" t="s">
        <v>10</v>
      </c>
      <c r="B2" s="6" t="s">
        <v>11</v>
      </c>
      <c r="C2" s="7" t="s">
        <v>12</v>
      </c>
      <c r="D2" s="8" t="s">
        <v>13</v>
      </c>
      <c r="E2" s="6" t="s">
        <v>14</v>
      </c>
      <c r="F2" s="6" t="s">
        <v>15</v>
      </c>
      <c r="G2" s="6" t="s">
        <v>16</v>
      </c>
      <c r="H2" s="9" t="s">
        <v>17</v>
      </c>
      <c r="I2" s="9" t="s">
        <v>18</v>
      </c>
      <c r="J2" s="10" t="s">
        <v>19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27.75" customHeight="1">
      <c r="A3" s="12" t="s">
        <v>20</v>
      </c>
      <c r="B3" s="12" t="s">
        <v>21</v>
      </c>
      <c r="C3" s="13" t="s">
        <v>22</v>
      </c>
      <c r="D3" s="14" t="s">
        <v>23</v>
      </c>
      <c r="E3" s="12" t="s">
        <v>24</v>
      </c>
      <c r="F3" s="12" t="s">
        <v>25</v>
      </c>
      <c r="G3" s="12" t="s">
        <v>26</v>
      </c>
      <c r="H3" s="15" t="s">
        <v>27</v>
      </c>
      <c r="I3" s="15" t="s">
        <v>28</v>
      </c>
      <c r="J3" s="16" t="s">
        <v>29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ht="51.0" customHeight="1">
      <c r="A4" s="18" t="s">
        <v>30</v>
      </c>
      <c r="B4" s="18" t="s">
        <v>31</v>
      </c>
      <c r="C4" s="19">
        <v>9.8</v>
      </c>
      <c r="D4" s="20" t="s">
        <v>32</v>
      </c>
      <c r="E4" s="18" t="s">
        <v>33</v>
      </c>
      <c r="F4" s="18" t="s">
        <v>34</v>
      </c>
      <c r="G4" s="18" t="s">
        <v>35</v>
      </c>
      <c r="H4" s="19">
        <v>1.2</v>
      </c>
      <c r="I4" s="19">
        <v>1.8</v>
      </c>
      <c r="J4" s="21">
        <f t="shared" ref="J4:J24" si="1">IFERROR(AVERAGE(C4, I4, H4), "")</f>
        <v>4.266666667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ht="41.25" customHeight="1">
      <c r="A5" s="18" t="s">
        <v>36</v>
      </c>
      <c r="B5" s="18" t="s">
        <v>31</v>
      </c>
      <c r="C5" s="19">
        <v>9.8</v>
      </c>
      <c r="D5" s="20" t="s">
        <v>37</v>
      </c>
      <c r="E5" s="18" t="s">
        <v>38</v>
      </c>
      <c r="F5" s="18" t="s">
        <v>39</v>
      </c>
      <c r="G5" s="18" t="s">
        <v>40</v>
      </c>
      <c r="H5" s="19">
        <v>1.8</v>
      </c>
      <c r="I5" s="19">
        <v>3.8</v>
      </c>
      <c r="J5" s="21">
        <f t="shared" si="1"/>
        <v>5.133333333</v>
      </c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ht="39.0" customHeight="1">
      <c r="A6" s="18" t="s">
        <v>36</v>
      </c>
      <c r="B6" s="18" t="s">
        <v>31</v>
      </c>
      <c r="C6" s="23">
        <v>9.0</v>
      </c>
      <c r="D6" s="20" t="s">
        <v>41</v>
      </c>
      <c r="E6" s="18" t="s">
        <v>42</v>
      </c>
      <c r="F6" s="18" t="s">
        <v>43</v>
      </c>
      <c r="G6" s="18" t="s">
        <v>44</v>
      </c>
      <c r="H6" s="19">
        <v>4.0</v>
      </c>
      <c r="I6" s="19">
        <v>3.2</v>
      </c>
      <c r="J6" s="21">
        <f t="shared" si="1"/>
        <v>5.4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ht="44.25" customHeight="1">
      <c r="A7" s="18" t="s">
        <v>36</v>
      </c>
      <c r="B7" s="18" t="s">
        <v>31</v>
      </c>
      <c r="C7" s="19">
        <v>9.8</v>
      </c>
      <c r="D7" s="20" t="s">
        <v>45</v>
      </c>
      <c r="E7" s="18" t="s">
        <v>46</v>
      </c>
      <c r="F7" s="18" t="s">
        <v>47</v>
      </c>
      <c r="G7" s="18" t="s">
        <v>48</v>
      </c>
      <c r="H7" s="19">
        <v>1.8</v>
      </c>
      <c r="I7" s="19">
        <v>5.2</v>
      </c>
      <c r="J7" s="21">
        <f t="shared" si="1"/>
        <v>5.6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ht="45.0" customHeight="1">
      <c r="A8" s="18" t="s">
        <v>30</v>
      </c>
      <c r="B8" s="18" t="s">
        <v>31</v>
      </c>
      <c r="C8" s="19">
        <v>10.0</v>
      </c>
      <c r="D8" s="20" t="s">
        <v>49</v>
      </c>
      <c r="E8" s="18" t="s">
        <v>50</v>
      </c>
      <c r="F8" s="18"/>
      <c r="G8" s="18" t="s">
        <v>51</v>
      </c>
      <c r="H8" s="19">
        <v>2.0</v>
      </c>
      <c r="I8" s="19">
        <v>5.0</v>
      </c>
      <c r="J8" s="21">
        <f t="shared" si="1"/>
        <v>5.666666667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ht="41.25" customHeight="1">
      <c r="A9" s="18" t="s">
        <v>36</v>
      </c>
      <c r="B9" s="18" t="s">
        <v>31</v>
      </c>
      <c r="C9" s="19">
        <v>9.8</v>
      </c>
      <c r="D9" s="20" t="s">
        <v>52</v>
      </c>
      <c r="E9" s="18" t="s">
        <v>53</v>
      </c>
      <c r="F9" s="18" t="s">
        <v>54</v>
      </c>
      <c r="G9" s="18" t="s">
        <v>55</v>
      </c>
      <c r="H9" s="19">
        <v>2.0</v>
      </c>
      <c r="I9" s="19">
        <v>5.8</v>
      </c>
      <c r="J9" s="21">
        <f t="shared" si="1"/>
        <v>5.866666667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>
      <c r="A10" s="18" t="s">
        <v>56</v>
      </c>
      <c r="B10" s="18" t="s">
        <v>31</v>
      </c>
      <c r="C10" s="19">
        <v>9.8</v>
      </c>
      <c r="D10" s="20" t="s">
        <v>57</v>
      </c>
      <c r="E10" s="18" t="s">
        <v>58</v>
      </c>
      <c r="F10" s="18" t="s">
        <v>59</v>
      </c>
      <c r="G10" s="18" t="s">
        <v>60</v>
      </c>
      <c r="H10" s="19">
        <v>3.1</v>
      </c>
      <c r="I10" s="19">
        <v>5.3</v>
      </c>
      <c r="J10" s="21">
        <f t="shared" si="1"/>
        <v>6.066666667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ht="42.0" customHeight="1">
      <c r="A11" s="18" t="s">
        <v>56</v>
      </c>
      <c r="B11" s="18" t="s">
        <v>31</v>
      </c>
      <c r="C11" s="19">
        <v>9.8</v>
      </c>
      <c r="D11" s="20" t="s">
        <v>61</v>
      </c>
      <c r="E11" s="18" t="s">
        <v>62</v>
      </c>
      <c r="F11" s="18" t="s">
        <v>63</v>
      </c>
      <c r="G11" s="18" t="s">
        <v>60</v>
      </c>
      <c r="H11" s="19">
        <v>4.2</v>
      </c>
      <c r="I11" s="19">
        <v>4.3</v>
      </c>
      <c r="J11" s="21">
        <f t="shared" si="1"/>
        <v>6.1</v>
      </c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ht="37.5" customHeight="1">
      <c r="A12" s="18" t="s">
        <v>56</v>
      </c>
      <c r="B12" s="18" t="s">
        <v>31</v>
      </c>
      <c r="C12" s="19">
        <v>9.8</v>
      </c>
      <c r="D12" s="20" t="s">
        <v>64</v>
      </c>
      <c r="E12" s="18" t="s">
        <v>65</v>
      </c>
      <c r="F12" s="18" t="s">
        <v>66</v>
      </c>
      <c r="G12" s="18" t="s">
        <v>60</v>
      </c>
      <c r="H12" s="19">
        <v>4.8</v>
      </c>
      <c r="I12" s="19">
        <v>3.8</v>
      </c>
      <c r="J12" s="21">
        <f t="shared" si="1"/>
        <v>6.133333333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>
      <c r="A13" s="18" t="s">
        <v>56</v>
      </c>
      <c r="B13" s="18" t="s">
        <v>31</v>
      </c>
      <c r="C13" s="19">
        <v>9.8</v>
      </c>
      <c r="D13" s="20" t="s">
        <v>67</v>
      </c>
      <c r="E13" s="18" t="s">
        <v>68</v>
      </c>
      <c r="F13" s="18" t="s">
        <v>69</v>
      </c>
      <c r="G13" s="18" t="s">
        <v>60</v>
      </c>
      <c r="H13" s="19">
        <v>4.8</v>
      </c>
      <c r="I13" s="19">
        <v>4.4</v>
      </c>
      <c r="J13" s="21">
        <f t="shared" si="1"/>
        <v>6.333333333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>
      <c r="A14" s="18" t="s">
        <v>56</v>
      </c>
      <c r="B14" s="18" t="s">
        <v>31</v>
      </c>
      <c r="C14" s="19">
        <v>9.8</v>
      </c>
      <c r="D14" s="20" t="s">
        <v>70</v>
      </c>
      <c r="E14" s="18" t="s">
        <v>71</v>
      </c>
      <c r="F14" s="18" t="s">
        <v>72</v>
      </c>
      <c r="G14" s="18" t="s">
        <v>60</v>
      </c>
      <c r="H14" s="19">
        <v>4.8</v>
      </c>
      <c r="I14" s="19">
        <v>4.5</v>
      </c>
      <c r="J14" s="21">
        <f t="shared" si="1"/>
        <v>6.366666667</v>
      </c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>
      <c r="A15" s="18" t="s">
        <v>30</v>
      </c>
      <c r="B15" s="18" t="s">
        <v>31</v>
      </c>
      <c r="C15" s="19">
        <v>9.8</v>
      </c>
      <c r="D15" s="20" t="s">
        <v>73</v>
      </c>
      <c r="E15" s="18" t="s">
        <v>74</v>
      </c>
      <c r="F15" s="18" t="s">
        <v>75</v>
      </c>
      <c r="G15" s="18" t="s">
        <v>76</v>
      </c>
      <c r="H15" s="19">
        <v>3.8</v>
      </c>
      <c r="I15" s="19">
        <v>6.8</v>
      </c>
      <c r="J15" s="21">
        <f t="shared" si="1"/>
        <v>6.8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>
      <c r="A16" s="18" t="s">
        <v>56</v>
      </c>
      <c r="B16" s="18" t="s">
        <v>77</v>
      </c>
      <c r="C16" s="19">
        <v>9.1</v>
      </c>
      <c r="D16" s="20" t="s">
        <v>78</v>
      </c>
      <c r="E16" s="18" t="s">
        <v>79</v>
      </c>
      <c r="F16" s="18" t="s">
        <v>80</v>
      </c>
      <c r="G16" s="18" t="s">
        <v>60</v>
      </c>
      <c r="H16" s="19">
        <v>7.8</v>
      </c>
      <c r="I16" s="19">
        <v>3.8</v>
      </c>
      <c r="J16" s="21">
        <f t="shared" si="1"/>
        <v>6.9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>
      <c r="A17" s="18" t="s">
        <v>30</v>
      </c>
      <c r="B17" s="18" t="s">
        <v>31</v>
      </c>
      <c r="C17" s="19">
        <v>9.8</v>
      </c>
      <c r="D17" s="20" t="s">
        <v>81</v>
      </c>
      <c r="E17" s="18" t="s">
        <v>82</v>
      </c>
      <c r="F17" s="18" t="s">
        <v>83</v>
      </c>
      <c r="G17" s="18" t="s">
        <v>84</v>
      </c>
      <c r="H17" s="19">
        <v>5.8</v>
      </c>
      <c r="I17" s="19">
        <v>5.5</v>
      </c>
      <c r="J17" s="21">
        <f t="shared" si="1"/>
        <v>7.033333333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>
      <c r="A18" s="18" t="s">
        <v>30</v>
      </c>
      <c r="B18" s="18" t="s">
        <v>31</v>
      </c>
      <c r="C18" s="19">
        <v>9.8</v>
      </c>
      <c r="D18" s="20" t="s">
        <v>85</v>
      </c>
      <c r="E18" s="18" t="s">
        <v>86</v>
      </c>
      <c r="F18" s="18" t="s">
        <v>87</v>
      </c>
      <c r="G18" s="18" t="s">
        <v>88</v>
      </c>
      <c r="H18" s="19">
        <v>7.8</v>
      </c>
      <c r="I18" s="19">
        <v>4.8</v>
      </c>
      <c r="J18" s="21">
        <f t="shared" si="1"/>
        <v>7.466666667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>
      <c r="A19" s="18" t="s">
        <v>56</v>
      </c>
      <c r="B19" s="18" t="s">
        <v>77</v>
      </c>
      <c r="C19" s="19">
        <v>9.1</v>
      </c>
      <c r="D19" s="20" t="s">
        <v>89</v>
      </c>
      <c r="E19" s="18" t="s">
        <v>90</v>
      </c>
      <c r="F19" s="18" t="s">
        <v>91</v>
      </c>
      <c r="G19" s="18" t="s">
        <v>60</v>
      </c>
      <c r="H19" s="19">
        <v>7.8</v>
      </c>
      <c r="I19" s="19">
        <v>6.0</v>
      </c>
      <c r="J19" s="21">
        <f t="shared" si="1"/>
        <v>7.633333333</v>
      </c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>
      <c r="A20" s="18" t="s">
        <v>30</v>
      </c>
      <c r="B20" s="18" t="s">
        <v>31</v>
      </c>
      <c r="C20" s="19">
        <v>9.8</v>
      </c>
      <c r="D20" s="20" t="s">
        <v>92</v>
      </c>
      <c r="E20" s="18" t="s">
        <v>93</v>
      </c>
      <c r="F20" s="18" t="s">
        <v>94</v>
      </c>
      <c r="G20" s="18" t="s">
        <v>95</v>
      </c>
      <c r="H20" s="19">
        <v>4.8</v>
      </c>
      <c r="I20" s="19">
        <v>8.5</v>
      </c>
      <c r="J20" s="21">
        <f t="shared" si="1"/>
        <v>7.7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ht="50.25" customHeight="1">
      <c r="A21" s="18" t="s">
        <v>36</v>
      </c>
      <c r="B21" s="18" t="s">
        <v>31</v>
      </c>
      <c r="C21" s="19">
        <v>9.8</v>
      </c>
      <c r="D21" s="20" t="s">
        <v>96</v>
      </c>
      <c r="E21" s="18" t="s">
        <v>97</v>
      </c>
      <c r="F21" s="18" t="s">
        <v>98</v>
      </c>
      <c r="G21" s="18" t="s">
        <v>99</v>
      </c>
      <c r="H21" s="19">
        <v>7.8</v>
      </c>
      <c r="I21" s="19">
        <v>6.8</v>
      </c>
      <c r="J21" s="21">
        <f t="shared" si="1"/>
        <v>8.133333333</v>
      </c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ht="19.5" customHeight="1">
      <c r="A22" s="18"/>
      <c r="B22" s="18"/>
      <c r="C22" s="19"/>
      <c r="D22" s="20"/>
      <c r="E22" s="18"/>
      <c r="F22" s="18"/>
      <c r="G22" s="18"/>
      <c r="H22" s="19"/>
      <c r="I22" s="19"/>
      <c r="J22" s="21" t="str">
        <f t="shared" si="1"/>
        <v/>
      </c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ht="19.5" customHeight="1">
      <c r="A23" s="18"/>
      <c r="B23" s="18"/>
      <c r="C23" s="19"/>
      <c r="D23" s="20"/>
      <c r="E23" s="18"/>
      <c r="F23" s="18"/>
      <c r="G23" s="18"/>
      <c r="H23" s="19"/>
      <c r="I23" s="19"/>
      <c r="J23" s="21" t="str">
        <f t="shared" si="1"/>
        <v/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ht="19.5" customHeight="1">
      <c r="A24" s="18"/>
      <c r="B24" s="18"/>
      <c r="C24" s="19"/>
      <c r="D24" s="20"/>
      <c r="E24" s="18"/>
      <c r="F24" s="18"/>
      <c r="G24" s="18"/>
      <c r="H24" s="19"/>
      <c r="I24" s="19"/>
      <c r="J24" s="21" t="str">
        <f t="shared" si="1"/>
        <v/>
      </c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</sheetData>
  <conditionalFormatting sqref="A1:Y24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A1:Y24">
    <cfRule type="expression" dxfId="0" priority="2">
      <formula>$B1="Critical"</formula>
    </cfRule>
  </conditionalFormatting>
  <conditionalFormatting sqref="A1:Y24">
    <cfRule type="expression" dxfId="1" priority="3">
      <formula>$B1="High"</formula>
    </cfRule>
  </conditionalFormatting>
  <conditionalFormatting sqref="A1:Y24">
    <cfRule type="expression" dxfId="2" priority="4">
      <formula>$B1="Medium"</formula>
    </cfRule>
  </conditionalFormatting>
  <conditionalFormatting sqref="A1:Y24">
    <cfRule type="expression" dxfId="3" priority="5">
      <formula>$B1="Low"</formula>
    </cfRule>
  </conditionalFormatting>
  <conditionalFormatting sqref="A1:Y24">
    <cfRule type="expression" dxfId="4" priority="6">
      <formula>$B1="Informational"</formula>
    </cfRule>
  </conditionalFormatting>
  <conditionalFormatting sqref="I1:I24">
    <cfRule type="colorScale" priority="7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H1:H24">
    <cfRule type="colorScale" priority="8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H1:J24">
    <cfRule type="colorScale" priority="9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C1:C24">
    <cfRule type="colorScale" priority="10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ataValidations>
    <dataValidation type="list" allowBlank="1" showErrorMessage="1" sqref="B4:B24">
      <formula1>"Critical,High,Medium,Low,Informational"</formula1>
    </dataValidation>
    <dataValidation type="list" allowBlank="1" showErrorMessage="1" sqref="A4:A24">
      <formula1>"10.20.30.10 (megaquagga.local),10.20.30.11,10.20.30.12"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25"/>
    <col customWidth="1" min="2" max="2" width="8.13"/>
    <col customWidth="1" min="3" max="3" width="108.75"/>
  </cols>
  <sheetData>
    <row r="1">
      <c r="C1" s="24"/>
    </row>
    <row r="2">
      <c r="C2" s="24"/>
    </row>
    <row r="3">
      <c r="C3" s="24"/>
    </row>
    <row r="4">
      <c r="C4" s="24"/>
    </row>
    <row r="5">
      <c r="C5" s="24"/>
    </row>
    <row r="6">
      <c r="A6" s="24"/>
      <c r="B6" s="24"/>
      <c r="C6" s="24"/>
    </row>
    <row r="7" ht="263.25" customHeight="1">
      <c r="A7" s="24"/>
      <c r="B7" s="24"/>
      <c r="C7" s="24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6.5"/>
    <col customWidth="1" min="4" max="4" width="25.13"/>
    <col customWidth="1" min="5" max="5" width="87.75"/>
  </cols>
  <sheetData>
    <row r="1">
      <c r="A1" s="25" t="s">
        <v>3</v>
      </c>
      <c r="B1" s="26" t="s">
        <v>4</v>
      </c>
      <c r="C1" s="25" t="s">
        <v>9</v>
      </c>
      <c r="D1" s="5" t="s">
        <v>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tr">
        <f>IFERROR(__xludf.DUMMYFUNCTION("SORT(
    FILTER(
        {'VULNERABILITY ASSESSMENT'!D4:D1000, 'VULNERABILITY ASSESSMENT'!E4:E1000, 'VULNERABILITY ASSESSMENT'!J4:J1000, 'VULNERABILITY ASSESSMENT'!A4:A1000},
        LEN('VULNERABILITY ASSESSMENT'!D4:D1000) &gt; 0
    ),
    3, FALSE
)"),"205461-- KB5041578")</f>
        <v>205461-- KB5041578</v>
      </c>
      <c r="B2" s="28" t="str">
        <f>IFERROR(__xludf.DUMMYFUNCTION("""COMPUTED_VALUE"""),"Windows 10 version 1809 / Windows Server 2019 Security Update (August 2024)")</f>
        <v>Windows 10 version 1809 / Windows Server 2019 Security Update (August 2024)</v>
      </c>
      <c r="C2" s="29">
        <f>IFERROR(__xludf.DUMMYFUNCTION("""COMPUTED_VALUE"""),8.133333333333335)</f>
        <v>8.133333333</v>
      </c>
      <c r="D2" s="27" t="str">
        <f>IFERROR(__xludf.DUMMYFUNCTION("""COMPUTED_VALUE"""),"10.20.30.11")</f>
        <v>10.20.30.11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28" t="str">
        <f>IFERROR(__xludf.DUMMYFUNCTION("""COMPUTED_VALUE"""),"200162")</f>
        <v>200162</v>
      </c>
      <c r="B3" s="28" t="str">
        <f>IFERROR(__xludf.DUMMYFUNCTION("""COMPUTED_VALUE"""),"PHP 8.2.x &lt; 8.2.20 Multiple Vulnerabilities")</f>
        <v>PHP 8.2.x &lt; 8.2.20 Multiple Vulnerabilities</v>
      </c>
      <c r="C3" s="29">
        <f>IFERROR(__xludf.DUMMYFUNCTION("""COMPUTED_VALUE"""),7.7)</f>
        <v>7.7</v>
      </c>
      <c r="D3" s="27" t="str">
        <f>IFERROR(__xludf.DUMMYFUNCTION("""COMPUTED_VALUE"""),"10.20.30.10 (megaquagga.local)")</f>
        <v>10.20.30.10 (megaquagga.local)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tr">
        <f>IFERROR(__xludf.DUMMYFUNCTION("""COMPUTED_VALUE"""),"204924")</f>
        <v>204924</v>
      </c>
      <c r="B4" s="28" t="str">
        <f>IFERROR(__xludf.DUMMYFUNCTION("""COMPUTED_VALUE"""),"Ubuntu 20.04 LTS / 22.04 LTS / 24.04 LTS : OpenSSL vulnerabilities (USN-6937-1)")</f>
        <v>Ubuntu 20.04 LTS / 22.04 LTS / 24.04 LTS : OpenSSL vulnerabilities (USN-6937-1)</v>
      </c>
      <c r="C4" s="29">
        <f>IFERROR(__xludf.DUMMYFUNCTION("""COMPUTED_VALUE"""),7.633333333333333)</f>
        <v>7.633333333</v>
      </c>
      <c r="D4" s="27" t="str">
        <f>IFERROR(__xludf.DUMMYFUNCTION("""COMPUTED_VALUE"""),"10.20.30.12")</f>
        <v>10.20.30.12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tr">
        <f>IFERROR(__xludf.DUMMYFUNCTION("""COMPUTED_VALUE"""),"201198")</f>
        <v>201198</v>
      </c>
      <c r="B5" s="28" t="str">
        <f>IFERROR(__xludf.DUMMYFUNCTION("""COMPUTED_VALUE"""),"Apache 2.4.x &lt; 2.4.60 Multiple Vulnerabilities")</f>
        <v>Apache 2.4.x &lt; 2.4.60 Multiple Vulnerabilities</v>
      </c>
      <c r="C5" s="29">
        <f>IFERROR(__xludf.DUMMYFUNCTION("""COMPUTED_VALUE"""),7.466666666666668)</f>
        <v>7.466666667</v>
      </c>
      <c r="D5" s="27" t="str">
        <f>IFERROR(__xludf.DUMMYFUNCTION("""COMPUTED_VALUE"""),"10.20.30.10 (megaquagga.local)")</f>
        <v>10.20.30.10 (megaquagga.local)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tr">
        <f>IFERROR(__xludf.DUMMYFUNCTION("""COMPUTED_VALUE"""),"179906")</f>
        <v>179906</v>
      </c>
      <c r="B6" s="28" t="str">
        <f>IFERROR(__xludf.DUMMYFUNCTION("""COMPUTED_VALUE"""),"PHP 8.2.x &lt; 8.2.9 Multiple Vulnerabilities")</f>
        <v>PHP 8.2.x &lt; 8.2.9 Multiple Vulnerabilities</v>
      </c>
      <c r="C6" s="29">
        <f>IFERROR(__xludf.DUMMYFUNCTION("""COMPUTED_VALUE"""),7.033333333333334)</f>
        <v>7.033333333</v>
      </c>
      <c r="D6" s="27" t="str">
        <f>IFERROR(__xludf.DUMMYFUNCTION("""COMPUTED_VALUE"""),"10.20.30.10 (megaquagga.local)")</f>
        <v>10.20.30.10 (megaquagga.local)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31" t="str">
        <f>IFERROR(__xludf.DUMMYFUNCTION("""COMPUTED_VALUE"""),"205195")</f>
        <v>205195</v>
      </c>
      <c r="B7" s="22" t="str">
        <f>IFERROR(__xludf.DUMMYFUNCTION("""COMPUTED_VALUE"""),"Ubuntu 14.04 LTS / 16.04 LTS / 18.04 LTS / 20.04 LTS / 22.04 LTS / 24.04 LTS : Kerberos vulnerabilities (USN-6947-1)")</f>
        <v>Ubuntu 14.04 LTS / 16.04 LTS / 18.04 LTS / 20.04 LTS / 22.04 LTS / 24.04 LTS : Kerberos vulnerabilities (USN-6947-1)</v>
      </c>
      <c r="C7" s="32">
        <f>IFERROR(__xludf.DUMMYFUNCTION("""COMPUTED_VALUE"""),6.8999999999999995)</f>
        <v>6.9</v>
      </c>
      <c r="D7" s="27" t="str">
        <f>IFERROR(__xludf.DUMMYFUNCTION("""COMPUTED_VALUE"""),"10.20.30.12")</f>
        <v>10.20.30.12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31" t="str">
        <f>IFERROR(__xludf.DUMMYFUNCTION("""COMPUTED_VALUE"""),"207822")</f>
        <v>207822</v>
      </c>
      <c r="B8" s="22" t="str">
        <f>IFERROR(__xludf.DUMMYFUNCTION("""COMPUTED_VALUE"""),"PHP 8.2.x &lt; 8.2.24 Multiple Vulnerabilities")</f>
        <v>PHP 8.2.x &lt; 8.2.24 Multiple Vulnerabilities</v>
      </c>
      <c r="C8" s="32">
        <f>IFERROR(__xludf.DUMMYFUNCTION("""COMPUTED_VALUE"""),6.800000000000001)</f>
        <v>6.8</v>
      </c>
      <c r="D8" s="27" t="str">
        <f>IFERROR(__xludf.DUMMYFUNCTION("""COMPUTED_VALUE"""),"10.20.30.10 (megaquagga.local)")</f>
        <v>10.20.30.10 (megaquagga.local)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31" t="str">
        <f>IFERROR(__xludf.DUMMYFUNCTION("""COMPUTED_VALUE"""),"207059 ")</f>
        <v>207059 </v>
      </c>
      <c r="B9" s="22" t="str">
        <f>IFERROR(__xludf.DUMMYFUNCTION("""COMPUTED_VALUE"""),"Ubuntu 14.04 LTS / 16.04 LTS / 18.04 LTS / 20.04 LTS / 24.04 LTS : Expat vulnerabilities (USN-7000-1)")</f>
        <v>Ubuntu 14.04 LTS / 16.04 LTS / 18.04 LTS / 20.04 LTS / 24.04 LTS : Expat vulnerabilities (USN-7000-1)</v>
      </c>
      <c r="C9" s="32">
        <f>IFERROR(__xludf.DUMMYFUNCTION("""COMPUTED_VALUE"""),6.366666666666667)</f>
        <v>6.366666667</v>
      </c>
      <c r="D9" s="27" t="str">
        <f>IFERROR(__xludf.DUMMYFUNCTION("""COMPUTED_VALUE"""),"10.20.30.12")</f>
        <v>10.20.30.12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31" t="str">
        <f>IFERROR(__xludf.DUMMYFUNCTION("""COMPUTED_VALUE"""),"205548")</f>
        <v>205548</v>
      </c>
      <c r="B10" s="22" t="str">
        <f>IFERROR(__xludf.DUMMYFUNCTION("""COMPUTED_VALUE"""),"Ubuntu 20.04 LTS / 22.04 LTS / 24.04 LTS : BusyBox vulnerabilities (USN-6961-1)")</f>
        <v>Ubuntu 20.04 LTS / 22.04 LTS / 24.04 LTS : BusyBox vulnerabilities (USN-6961-1)</v>
      </c>
      <c r="C10" s="32">
        <f>IFERROR(__xludf.DUMMYFUNCTION("""COMPUTED_VALUE"""),6.333333333333333)</f>
        <v>6.333333333</v>
      </c>
      <c r="D10" s="27" t="str">
        <f>IFERROR(__xludf.DUMMYFUNCTION("""COMPUTED_VALUE"""),"10.20.30.12")</f>
        <v>10.20.30.12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31" t="str">
        <f>IFERROR(__xludf.DUMMYFUNCTION("""COMPUTED_VALUE"""),"209121")</f>
        <v>209121</v>
      </c>
      <c r="B11" s="22" t="str">
        <f>IFERROR(__xludf.DUMMYFUNCTION("""COMPUTED_VALUE"""),"Ubuntu 14.04 LTS / 16.04 LTS / 18.04 LTS / 20.04 LTS / 22.04 LTS / 24.04 LTS : libarchive vulnerabilities (USN-7070-1)")</f>
        <v>Ubuntu 14.04 LTS / 16.04 LTS / 18.04 LTS / 20.04 LTS / 22.04 LTS / 24.04 LTS : libarchive vulnerabilities (USN-7070-1)</v>
      </c>
      <c r="C11" s="32">
        <f>IFERROR(__xludf.DUMMYFUNCTION("""COMPUTED_VALUE"""),6.133333333333334)</f>
        <v>6.133333333</v>
      </c>
      <c r="D11" s="27" t="str">
        <f>IFERROR(__xludf.DUMMYFUNCTION("""COMPUTED_VALUE"""),"10.20.30.12")</f>
        <v>10.20.30.12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31" t="str">
        <f>IFERROR(__xludf.DUMMYFUNCTION("""COMPUTED_VALUE"""),"213189")</f>
        <v>213189</v>
      </c>
      <c r="B12" s="22" t="str">
        <f>IFERROR(__xludf.DUMMYFUNCTION("""COMPUTED_VALUE"""),"Ubuntu 20.04 LTS / 22.04 LTS / 24.04 LTS / 24.10 : GStreamer vulnerability (USN-7174-1)")</f>
        <v>Ubuntu 20.04 LTS / 22.04 LTS / 24.04 LTS / 24.10 : GStreamer vulnerability (USN-7174-1)</v>
      </c>
      <c r="C12" s="32">
        <f>IFERROR(__xludf.DUMMYFUNCTION("""COMPUTED_VALUE"""),6.1000000000000005)</f>
        <v>6.1</v>
      </c>
      <c r="D12" s="27" t="str">
        <f>IFERROR(__xludf.DUMMYFUNCTION("""COMPUTED_VALUE"""),"10.20.30.12")</f>
        <v>10.20.30.12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31" t="str">
        <f>IFERROR(__xludf.DUMMYFUNCTION("""COMPUTED_VALUE"""),"211522")</f>
        <v>211522</v>
      </c>
      <c r="B13" s="22" t="str">
        <f>IFERROR(__xludf.DUMMYFUNCTION("""COMPUTED_VALUE"""),"Ubuntu 16.04 LTS / 18.04 LTS / 20.04 LTS / 22.04 LTS / 24.04 LTS : GLib vulnerability (USN-7114-1)")</f>
        <v>Ubuntu 16.04 LTS / 18.04 LTS / 20.04 LTS / 22.04 LTS / 24.04 LTS : GLib vulnerability (USN-7114-1)</v>
      </c>
      <c r="C13" s="32">
        <f>IFERROR(__xludf.DUMMYFUNCTION("""COMPUTED_VALUE"""),6.066666666666667)</f>
        <v>6.066666667</v>
      </c>
      <c r="D13" s="27" t="str">
        <f>IFERROR(__xludf.DUMMYFUNCTION("""COMPUTED_VALUE"""),"10.20.30.12")</f>
        <v>10.20.30.12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31" t="str">
        <f>IFERROR(__xludf.DUMMYFUNCTION("""COMPUTED_VALUE"""),"212239 - KB5048661")</f>
        <v>212239 - KB5048661</v>
      </c>
      <c r="B14" s="22" t="str">
        <f>IFERROR(__xludf.DUMMYFUNCTION("""COMPUTED_VALUE"""),"Windows 10 version 1809 / Windows Server 2019 Security Update (December 2024)")</f>
        <v>Windows 10 version 1809 / Windows Server 2019 Security Update (December 2024)</v>
      </c>
      <c r="C14" s="32">
        <f>IFERROR(__xludf.DUMMYFUNCTION("""COMPUTED_VALUE"""),5.866666666666667)</f>
        <v>5.866666667</v>
      </c>
      <c r="D14" s="27" t="str">
        <f>IFERROR(__xludf.DUMMYFUNCTION("""COMPUTED_VALUE"""),"10.20.30.11")</f>
        <v>10.20.30.11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31" t="str">
        <f>IFERROR(__xludf.DUMMYFUNCTION("""COMPUTED_VALUE"""),"58987")</f>
        <v>58987</v>
      </c>
      <c r="B15" s="22" t="str">
        <f>IFERROR(__xludf.DUMMYFUNCTION("""COMPUTED_VALUE"""),"PHP Unsupported Version Detection")</f>
        <v>PHP Unsupported Version Detection</v>
      </c>
      <c r="C15" s="32">
        <f>IFERROR(__xludf.DUMMYFUNCTION("""COMPUTED_VALUE"""),5.666666666666667)</f>
        <v>5.666666667</v>
      </c>
      <c r="D15" s="27" t="str">
        <f>IFERROR(__xludf.DUMMYFUNCTION("""COMPUTED_VALUE"""),"10.20.30.10 (megaquagga.local)")</f>
        <v>10.20.30.10 (megaquagga.local)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31" t="str">
        <f>IFERROR(__xludf.DUMMYFUNCTION("""COMPUTED_VALUE"""),"210860 - KB5046615")</f>
        <v>210860 - KB5046615</v>
      </c>
      <c r="B16" s="22" t="str">
        <f>IFERROR(__xludf.DUMMYFUNCTION("""COMPUTED_VALUE"""),"Windows 10 version 1809 / Windows Server 2019 Security Update (November 2024)")</f>
        <v>Windows 10 version 1809 / Windows Server 2019 Security Update (November 2024)</v>
      </c>
      <c r="C16" s="32">
        <f>IFERROR(__xludf.DUMMYFUNCTION("""COMPUTED_VALUE"""),5.6000000000000005)</f>
        <v>5.6</v>
      </c>
      <c r="D16" s="27" t="str">
        <f>IFERROR(__xludf.DUMMYFUNCTION("""COMPUTED_VALUE"""),"10.20.30.11")</f>
        <v>10.20.30.11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31" t="str">
        <f>IFERROR(__xludf.DUMMYFUNCTION("""COMPUTED_VALUE"""),"208285 - KB5044277")</f>
        <v>208285 - KB5044277</v>
      </c>
      <c r="B17" s="22" t="str">
        <f>IFERROR(__xludf.DUMMYFUNCTION("""COMPUTED_VALUE"""),"Windows 10 version 1809 / Windows Server 2019 Security Update (October 2024)")</f>
        <v>Windows 10 version 1809 / Windows Server 2019 Security Update (October 2024)</v>
      </c>
      <c r="C17" s="32">
        <f>IFERROR(__xludf.DUMMYFUNCTION("""COMPUTED_VALUE"""),5.3999999999999995)</f>
        <v>5.4</v>
      </c>
      <c r="D17" s="27" t="str">
        <f>IFERROR(__xludf.DUMMYFUNCTION("""COMPUTED_VALUE"""),"10.20.30.11")</f>
        <v>10.20.30.11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31" t="str">
        <f>IFERROR(__xludf.DUMMYFUNCTION("""COMPUTED_VALUE"""),"206898 - KB5043050")</f>
        <v>206898 - KB5043050</v>
      </c>
      <c r="B18" s="22" t="str">
        <f>IFERROR(__xludf.DUMMYFUNCTION("""COMPUTED_VALUE"""),"Windows 10 version 1809 / Windows Server 2019 Security Update (September 2024)")</f>
        <v>Windows 10 version 1809 / Windows Server 2019 Security Update (September 2024)</v>
      </c>
      <c r="C18" s="32">
        <f>IFERROR(__xludf.DUMMYFUNCTION("""COMPUTED_VALUE"""),5.133333333333334)</f>
        <v>5.133333333</v>
      </c>
      <c r="D18" s="27" t="str">
        <f>IFERROR(__xludf.DUMMYFUNCTION("""COMPUTED_VALUE"""),"10.20.30.11")</f>
        <v>10.20.30.11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31" t="str">
        <f>IFERROR(__xludf.DUMMYFUNCTION("""COMPUTED_VALUE"""),"211671")</f>
        <v>211671</v>
      </c>
      <c r="B19" s="22" t="str">
        <f>IFERROR(__xludf.DUMMYFUNCTION("""COMPUTED_VALUE"""),"PHP 8.2.x &lt; 8.2.26 Multiple Vulnerabilities")</f>
        <v>PHP 8.2.x &lt; 8.2.26 Multiple Vulnerabilities</v>
      </c>
      <c r="C19" s="32">
        <f>IFERROR(__xludf.DUMMYFUNCTION("""COMPUTED_VALUE"""),4.266666666666667)</f>
        <v>4.266666667</v>
      </c>
      <c r="D19" s="27" t="str">
        <f>IFERROR(__xludf.DUMMYFUNCTION("""COMPUTED_VALUE"""),"10.20.30.10 (megaquagga.local)")</f>
        <v>10.20.30.10 (megaquagga.local)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7"/>
      <c r="B20" s="22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7"/>
      <c r="B21" s="22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7"/>
      <c r="B22" s="22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7"/>
      <c r="B23" s="22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7"/>
      <c r="B24" s="22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7"/>
      <c r="B25" s="22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7"/>
      <c r="B26" s="22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7"/>
      <c r="B27" s="22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7"/>
      <c r="B28" s="22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22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22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22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22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22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22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2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2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22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2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22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2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22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2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22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22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2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22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2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22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2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22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2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22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2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22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2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22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2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2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2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2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2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2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2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2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2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22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2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22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2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22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2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22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2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22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2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22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2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22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2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22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2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22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2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22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2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2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2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2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2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2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2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22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2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22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2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22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2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22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2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22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2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22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2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22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2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22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2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22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2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22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2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22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2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22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2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22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2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22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2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22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2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22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2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22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2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22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2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2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2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2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2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2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2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2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2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2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2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2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2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2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2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2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2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2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2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2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2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2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2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2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2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2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2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2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2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2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2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2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2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2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2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2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2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2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2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2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2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2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2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2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2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2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2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2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2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2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2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2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2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2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2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2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2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2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2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2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2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2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2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2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2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2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2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2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2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2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2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2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2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2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2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2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2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2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2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2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2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2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2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2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2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2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2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2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2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2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2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2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2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2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2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2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2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2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2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2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2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2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2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2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2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2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2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2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2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2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2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2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2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2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2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2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2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2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2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2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2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2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2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2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2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2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2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2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2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2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2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2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2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2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2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2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2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2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2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2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2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2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2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2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2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2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2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2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2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2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2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2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2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2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2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2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2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2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2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2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2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2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2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2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2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2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2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2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2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2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2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2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2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2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2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2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2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2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2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2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2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2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2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2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2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2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2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2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2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2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2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2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2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2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2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2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2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2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2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2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2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2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2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2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2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2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2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2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2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2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2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2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2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2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2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2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2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2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2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2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2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2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2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2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2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2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2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2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2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2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2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2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2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2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2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2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2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2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2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2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2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2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2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2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2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2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2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2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2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2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2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2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2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2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2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2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2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2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2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2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2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2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2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2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2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2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2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2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2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2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2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2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2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2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2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2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2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2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2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2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2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2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2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2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2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2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2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2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2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2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2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2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2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2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2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2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2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2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2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2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2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2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2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2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2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2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2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2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2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2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2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2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2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2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2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2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2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2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2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2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2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2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2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2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2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2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2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2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2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2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2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2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2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2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2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2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2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2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2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2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2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2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2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2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2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2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2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2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2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2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2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2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2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2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2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2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2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2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2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2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2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2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2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2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2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2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2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2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2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2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2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2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2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2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2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2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2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2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2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2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2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2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2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2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2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2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2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2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2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2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2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2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2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2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2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2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2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2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2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2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2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2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2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2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2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2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2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2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2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2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2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2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2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2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2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2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2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2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2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2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2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2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2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2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2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2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2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2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2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2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2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2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2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2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2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2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2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2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2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2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2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2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2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2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2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2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2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2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2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2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2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2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2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2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2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2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2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2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2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2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2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2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2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2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2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2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2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2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2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2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2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2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2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2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2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2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2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2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2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2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2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2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2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2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2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2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2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2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2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2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2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2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2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2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2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2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2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2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2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2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2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2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2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2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2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2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2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2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2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2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2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2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2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2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2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2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2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2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2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2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2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2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2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2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2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2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2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2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2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2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2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2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2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2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2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2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2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2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2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2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2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2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2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2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2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2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2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2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2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2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2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2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2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2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2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2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2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2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2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2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2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2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2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2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2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2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2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2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2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2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2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2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2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2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2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2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2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2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2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2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2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2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2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2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2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2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2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2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2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2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2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2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2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2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2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2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2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2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2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2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2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2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2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2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2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2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2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2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2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2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2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2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2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2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2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2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2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2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2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2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2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2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2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2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2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2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2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2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2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2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2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2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2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2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2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2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2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2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2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2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2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2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2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2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2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2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2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2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2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2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2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2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2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2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2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2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2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2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2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2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2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2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2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2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2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2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2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2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2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2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2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2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2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2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2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2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2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2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2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2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2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2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2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2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2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2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2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2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2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2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2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2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2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2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2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2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2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2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2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2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2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2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2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2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2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2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2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2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2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2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2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2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2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2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2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2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2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2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2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2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2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2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2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2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2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2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2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2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2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2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2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2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2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2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2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2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2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2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2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2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2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2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2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2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2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2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2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2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2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2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2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2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2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2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2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2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2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2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2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2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2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2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2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2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2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2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2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2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2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2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2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2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2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2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2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2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2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2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2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2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2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2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2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2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2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2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2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2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2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2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2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2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2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2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2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2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2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2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2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2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2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2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2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2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2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2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2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2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2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2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2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2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2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2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2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2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2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2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2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2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2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2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2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2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2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2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2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2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2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2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2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2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2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2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2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2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2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2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2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2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2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2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2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2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2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2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2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2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2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2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2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2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2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2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2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2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2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2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2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2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2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2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2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2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2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2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2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2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2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2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2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22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22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22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conditionalFormatting sqref="C1:C1000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0.0"/>
    <col customWidth="1" min="3" max="3" width="90.38"/>
  </cols>
  <sheetData>
    <row r="1">
      <c r="A1" s="33" t="s">
        <v>103</v>
      </c>
      <c r="B1" s="33" t="s">
        <v>104</v>
      </c>
      <c r="C1" s="33"/>
    </row>
    <row r="2">
      <c r="A2" s="18" t="s">
        <v>31</v>
      </c>
      <c r="B2" s="24">
        <f>COUNTIF('VULNERABILITY ASSESSMENT'!B:B, "Critical")</f>
        <v>16</v>
      </c>
      <c r="C2" s="24"/>
    </row>
    <row r="3">
      <c r="A3" s="18" t="s">
        <v>77</v>
      </c>
      <c r="B3" s="24">
        <f>COUNTIF('VULNERABILITY ASSESSMENT'!B:B, "High")</f>
        <v>2</v>
      </c>
      <c r="C3" s="24"/>
    </row>
    <row r="4">
      <c r="A4" s="18" t="s">
        <v>105</v>
      </c>
      <c r="B4" s="34">
        <f>COUNTIF('VULNERABILITY ASSESSMENT'!B:B, "Medium")</f>
        <v>0</v>
      </c>
      <c r="C4" s="34"/>
    </row>
    <row r="5">
      <c r="A5" s="18" t="s">
        <v>106</v>
      </c>
      <c r="B5" s="24">
        <f>COUNTIF('VULNERABILITY ASSESSMENT'!B:B, "Low")</f>
        <v>0</v>
      </c>
      <c r="C5" s="24"/>
    </row>
    <row r="6">
      <c r="A6" s="18" t="s">
        <v>107</v>
      </c>
      <c r="B6" s="24">
        <f>COUNTIF('VULNERABILITY ASSESSMENT'!B:B, "Informational")</f>
        <v>0</v>
      </c>
      <c r="C6" s="24"/>
    </row>
    <row r="7" ht="292.5" customHeight="1">
      <c r="A7" s="18"/>
      <c r="B7" s="24"/>
      <c r="C7" s="24"/>
    </row>
  </sheetData>
  <dataValidations>
    <dataValidation type="list" allowBlank="1" showErrorMessage="1" sqref="A2:A6">
      <formula1>"Critical,High,Medium,Low,Informational"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45.13"/>
    <col customWidth="1" min="3" max="3" width="10.0"/>
    <col customWidth="1" min="4" max="4" width="19.25"/>
    <col customWidth="1" min="5" max="5" width="39.13"/>
    <col customWidth="1" min="6" max="6" width="39.38"/>
  </cols>
  <sheetData>
    <row r="1">
      <c r="A1" s="25" t="s">
        <v>3</v>
      </c>
      <c r="B1" s="26" t="s">
        <v>4</v>
      </c>
      <c r="C1" s="25" t="s">
        <v>9</v>
      </c>
      <c r="D1" s="5" t="s">
        <v>0</v>
      </c>
      <c r="E1" s="1" t="s">
        <v>6</v>
      </c>
      <c r="F1" s="1" t="s">
        <v>108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35" t="str">
        <f>IFERROR(__xludf.DUMMYFUNCTION("SORT( FILTER( {'VULNERABILITY ASSESSMENT'!D4:D1001, 'VULNERABILITY ASSESSMENT'!E4:E1001, 'VULNERABILITY ASSESSMENT'!J4:J1001, 'VULNERABILITY ASSESSMENT'!A4:A1001, 'VULNERABILITY ASSESSMENT'!G4:G1001}, LEN('VULNERABILITY ASSESSMENT'!D4:D1001) &gt; 0 ), 3, FAL"&amp;"SE )"),"205461-- KB5041578")</f>
        <v>205461-- KB5041578</v>
      </c>
      <c r="B2" s="22" t="str">
        <f>IFERROR(__xludf.DUMMYFUNCTION("""COMPUTED_VALUE"""),"Windows 10 version 1809 / Windows Server 2019 Security Update (August 2024)")</f>
        <v>Windows 10 version 1809 / Windows Server 2019 Security Update (August 2024)</v>
      </c>
      <c r="C2" s="21">
        <f>IFERROR(__xludf.DUMMYFUNCTION("""COMPUTED_VALUE"""),8.133333333333335)</f>
        <v>8.133333333</v>
      </c>
      <c r="D2" s="22" t="str">
        <f>IFERROR(__xludf.DUMMYFUNCTION("""COMPUTED_VALUE"""),"10.20.30.11")</f>
        <v>10.20.30.11</v>
      </c>
      <c r="E2" s="22" t="str">
        <f>IFERROR(__xludf.DUMMYFUNCTION("""COMPUTED_VALUE"""),"Apply Security Update 5041578")</f>
        <v>Apply Security Update 5041578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8" t="str">
        <f>IFERROR(__xludf.DUMMYFUNCTION("""COMPUTED_VALUE"""),"200162")</f>
        <v>200162</v>
      </c>
      <c r="B3" s="22" t="str">
        <f>IFERROR(__xludf.DUMMYFUNCTION("""COMPUTED_VALUE"""),"PHP 8.2.x &lt; 8.2.20 Multiple Vulnerabilities")</f>
        <v>PHP 8.2.x &lt; 8.2.20 Multiple Vulnerabilities</v>
      </c>
      <c r="C3" s="21">
        <f>IFERROR(__xludf.DUMMYFUNCTION("""COMPUTED_VALUE"""),7.7)</f>
        <v>7.7</v>
      </c>
      <c r="D3" s="22" t="str">
        <f>IFERROR(__xludf.DUMMYFUNCTION("""COMPUTED_VALUE"""),"10.20.30.10 (megaquagga.local)")</f>
        <v>10.20.30.10 (megaquagga.local)</v>
      </c>
      <c r="E3" s="22" t="str">
        <f>IFERROR(__xludf.DUMMYFUNCTION("""COMPUTED_VALUE"""),"Upgrade to PHP version 8.2.20 or later.")</f>
        <v>Upgrade to PHP version 8.2.20 or later.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8" t="str">
        <f>IFERROR(__xludf.DUMMYFUNCTION("""COMPUTED_VALUE"""),"204924")</f>
        <v>204924</v>
      </c>
      <c r="B4" s="22" t="str">
        <f>IFERROR(__xludf.DUMMYFUNCTION("""COMPUTED_VALUE"""),"Ubuntu 20.04 LTS / 22.04 LTS / 24.04 LTS : OpenSSL vulnerabilities (USN-6937-1)")</f>
        <v>Ubuntu 20.04 LTS / 22.04 LTS / 24.04 LTS : OpenSSL vulnerabilities (USN-6937-1)</v>
      </c>
      <c r="C4" s="21">
        <f>IFERROR(__xludf.DUMMYFUNCTION("""COMPUTED_VALUE"""),7.633333333333333)</f>
        <v>7.633333333</v>
      </c>
      <c r="D4" s="22" t="str">
        <f>IFERROR(__xludf.DUMMYFUNCTION("""COMPUTED_VALUE"""),"10.20.30.12")</f>
        <v>10.20.30.12</v>
      </c>
      <c r="E4" s="22" t="str">
        <f>IFERROR(__xludf.DUMMYFUNCTION("""COMPUTED_VALUE"""),"Update the affected packages.")</f>
        <v>Update the affected packages.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8" t="str">
        <f>IFERROR(__xludf.DUMMYFUNCTION("""COMPUTED_VALUE"""),"201198")</f>
        <v>201198</v>
      </c>
      <c r="B5" s="22" t="str">
        <f>IFERROR(__xludf.DUMMYFUNCTION("""COMPUTED_VALUE"""),"Apache 2.4.x &lt; 2.4.60 Multiple Vulnerabilities")</f>
        <v>Apache 2.4.x &lt; 2.4.60 Multiple Vulnerabilities</v>
      </c>
      <c r="C5" s="21">
        <f>IFERROR(__xludf.DUMMYFUNCTION("""COMPUTED_VALUE"""),7.466666666666668)</f>
        <v>7.466666667</v>
      </c>
      <c r="D5" s="22" t="str">
        <f>IFERROR(__xludf.DUMMYFUNCTION("""COMPUTED_VALUE"""),"10.20.30.10 (megaquagga.local)")</f>
        <v>10.20.30.10 (megaquagga.local)</v>
      </c>
      <c r="E5" s="22" t="str">
        <f>IFERROR(__xludf.DUMMYFUNCTION("""COMPUTED_VALUE"""),"Upgrade to Apache version 2.4.60 or later.")</f>
        <v>Upgrade to Apache version 2.4.60 or later.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8" t="str">
        <f>IFERROR(__xludf.DUMMYFUNCTION("""COMPUTED_VALUE"""),"179906")</f>
        <v>179906</v>
      </c>
      <c r="B6" s="22" t="str">
        <f>IFERROR(__xludf.DUMMYFUNCTION("""COMPUTED_VALUE"""),"PHP 8.2.x &lt; 8.2.9 Multiple Vulnerabilities")</f>
        <v>PHP 8.2.x &lt; 8.2.9 Multiple Vulnerabilities</v>
      </c>
      <c r="C6" s="21">
        <f>IFERROR(__xludf.DUMMYFUNCTION("""COMPUTED_VALUE"""),7.033333333333334)</f>
        <v>7.033333333</v>
      </c>
      <c r="D6" s="22" t="str">
        <f>IFERROR(__xludf.DUMMYFUNCTION("""COMPUTED_VALUE"""),"10.20.30.10 (megaquagga.local)")</f>
        <v>10.20.30.10 (megaquagga.local)</v>
      </c>
      <c r="E6" s="22" t="str">
        <f>IFERROR(__xludf.DUMMYFUNCTION("""COMPUTED_VALUE"""),"Upgrade to PHP version 8.2.9 or later.")</f>
        <v>Upgrade to PHP version 8.2.9 or later.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8" t="str">
        <f>IFERROR(__xludf.DUMMYFUNCTION("""COMPUTED_VALUE"""),"205195")</f>
        <v>205195</v>
      </c>
      <c r="B7" s="22" t="str">
        <f>IFERROR(__xludf.DUMMYFUNCTION("""COMPUTED_VALUE"""),"Ubuntu 14.04 LTS / 16.04 LTS / 18.04 LTS / 20.04 LTS / 22.04 LTS / 24.04 LTS : Kerberos vulnerabilities (USN-6947-1)")</f>
        <v>Ubuntu 14.04 LTS / 16.04 LTS / 18.04 LTS / 20.04 LTS / 22.04 LTS / 24.04 LTS : Kerberos vulnerabilities (USN-6947-1)</v>
      </c>
      <c r="C7" s="21">
        <f>IFERROR(__xludf.DUMMYFUNCTION("""COMPUTED_VALUE"""),6.8999999999999995)</f>
        <v>6.9</v>
      </c>
      <c r="D7" s="22" t="str">
        <f>IFERROR(__xludf.DUMMYFUNCTION("""COMPUTED_VALUE"""),"10.20.30.12")</f>
        <v>10.20.30.12</v>
      </c>
      <c r="E7" s="22" t="str">
        <f>IFERROR(__xludf.DUMMYFUNCTION("""COMPUTED_VALUE"""),"Update the affected packages.")</f>
        <v>Update the affected packages.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8" t="str">
        <f>IFERROR(__xludf.DUMMYFUNCTION("""COMPUTED_VALUE"""),"207822")</f>
        <v>207822</v>
      </c>
      <c r="B8" s="22" t="str">
        <f>IFERROR(__xludf.DUMMYFUNCTION("""COMPUTED_VALUE"""),"PHP 8.2.x &lt; 8.2.24 Multiple Vulnerabilities")</f>
        <v>PHP 8.2.x &lt; 8.2.24 Multiple Vulnerabilities</v>
      </c>
      <c r="C8" s="21">
        <f>IFERROR(__xludf.DUMMYFUNCTION("""COMPUTED_VALUE"""),6.800000000000001)</f>
        <v>6.8</v>
      </c>
      <c r="D8" s="22" t="str">
        <f>IFERROR(__xludf.DUMMYFUNCTION("""COMPUTED_VALUE"""),"10.20.30.10 (megaquagga.local)")</f>
        <v>10.20.30.10 (megaquagga.local)</v>
      </c>
      <c r="E8" s="22" t="str">
        <f>IFERROR(__xludf.DUMMYFUNCTION("""COMPUTED_VALUE"""),"Upgrade to PHP version 8.2.24 or later.")</f>
        <v>Upgrade to PHP version 8.2.24 or later.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8" t="str">
        <f>IFERROR(__xludf.DUMMYFUNCTION("""COMPUTED_VALUE"""),"207059 ")</f>
        <v>207059 </v>
      </c>
      <c r="B9" s="22" t="str">
        <f>IFERROR(__xludf.DUMMYFUNCTION("""COMPUTED_VALUE"""),"Ubuntu 14.04 LTS / 16.04 LTS / 18.04 LTS / 20.04 LTS / 24.04 LTS : Expat vulnerabilities (USN-7000-1)")</f>
        <v>Ubuntu 14.04 LTS / 16.04 LTS / 18.04 LTS / 20.04 LTS / 24.04 LTS : Expat vulnerabilities (USN-7000-1)</v>
      </c>
      <c r="C9" s="21">
        <f>IFERROR(__xludf.DUMMYFUNCTION("""COMPUTED_VALUE"""),6.366666666666667)</f>
        <v>6.366666667</v>
      </c>
      <c r="D9" s="22" t="str">
        <f>IFERROR(__xludf.DUMMYFUNCTION("""COMPUTED_VALUE"""),"10.20.30.12")</f>
        <v>10.20.30.12</v>
      </c>
      <c r="E9" s="22" t="str">
        <f>IFERROR(__xludf.DUMMYFUNCTION("""COMPUTED_VALUE"""),"Update the affected packages.")</f>
        <v>Update the affected packages.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8" t="str">
        <f>IFERROR(__xludf.DUMMYFUNCTION("""COMPUTED_VALUE"""),"205548")</f>
        <v>205548</v>
      </c>
      <c r="B10" s="22" t="str">
        <f>IFERROR(__xludf.DUMMYFUNCTION("""COMPUTED_VALUE"""),"Ubuntu 20.04 LTS / 22.04 LTS / 24.04 LTS : BusyBox vulnerabilities (USN-6961-1)")</f>
        <v>Ubuntu 20.04 LTS / 22.04 LTS / 24.04 LTS : BusyBox vulnerabilities (USN-6961-1)</v>
      </c>
      <c r="C10" s="21">
        <f>IFERROR(__xludf.DUMMYFUNCTION("""COMPUTED_VALUE"""),6.333333333333333)</f>
        <v>6.333333333</v>
      </c>
      <c r="D10" s="22" t="str">
        <f>IFERROR(__xludf.DUMMYFUNCTION("""COMPUTED_VALUE"""),"10.20.30.12")</f>
        <v>10.20.30.12</v>
      </c>
      <c r="E10" s="22" t="str">
        <f>IFERROR(__xludf.DUMMYFUNCTION("""COMPUTED_VALUE"""),"Update the affected packages.")</f>
        <v>Update the affected packages.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8" t="str">
        <f>IFERROR(__xludf.DUMMYFUNCTION("""COMPUTED_VALUE"""),"209121")</f>
        <v>209121</v>
      </c>
      <c r="B11" s="22" t="str">
        <f>IFERROR(__xludf.DUMMYFUNCTION("""COMPUTED_VALUE"""),"Ubuntu 14.04 LTS / 16.04 LTS / 18.04 LTS / 20.04 LTS / 22.04 LTS / 24.04 LTS : libarchive vulnerabilities (USN-7070-1)")</f>
        <v>Ubuntu 14.04 LTS / 16.04 LTS / 18.04 LTS / 20.04 LTS / 22.04 LTS / 24.04 LTS : libarchive vulnerabilities (USN-7070-1)</v>
      </c>
      <c r="C11" s="21">
        <f>IFERROR(__xludf.DUMMYFUNCTION("""COMPUTED_VALUE"""),6.133333333333334)</f>
        <v>6.133333333</v>
      </c>
      <c r="D11" s="22" t="str">
        <f>IFERROR(__xludf.DUMMYFUNCTION("""COMPUTED_VALUE"""),"10.20.30.12")</f>
        <v>10.20.30.12</v>
      </c>
      <c r="E11" s="22" t="str">
        <f>IFERROR(__xludf.DUMMYFUNCTION("""COMPUTED_VALUE"""),"Update the affected packages.")</f>
        <v>Update the affected packages.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8" t="str">
        <f>IFERROR(__xludf.DUMMYFUNCTION("""COMPUTED_VALUE"""),"213189")</f>
        <v>213189</v>
      </c>
      <c r="B12" s="22" t="str">
        <f>IFERROR(__xludf.DUMMYFUNCTION("""COMPUTED_VALUE"""),"Ubuntu 20.04 LTS / 22.04 LTS / 24.04 LTS / 24.10 : GStreamer vulnerability (USN-7174-1)")</f>
        <v>Ubuntu 20.04 LTS / 22.04 LTS / 24.04 LTS / 24.10 : GStreamer vulnerability (USN-7174-1)</v>
      </c>
      <c r="C12" s="21">
        <f>IFERROR(__xludf.DUMMYFUNCTION("""COMPUTED_VALUE"""),6.1000000000000005)</f>
        <v>6.1</v>
      </c>
      <c r="D12" s="22" t="str">
        <f>IFERROR(__xludf.DUMMYFUNCTION("""COMPUTED_VALUE"""),"10.20.30.12")</f>
        <v>10.20.30.12</v>
      </c>
      <c r="E12" s="22" t="str">
        <f>IFERROR(__xludf.DUMMYFUNCTION("""COMPUTED_VALUE"""),"Update the affected packages.")</f>
        <v>Update the affected packages.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8" t="str">
        <f>IFERROR(__xludf.DUMMYFUNCTION("""COMPUTED_VALUE"""),"211522")</f>
        <v>211522</v>
      </c>
      <c r="B13" s="22" t="str">
        <f>IFERROR(__xludf.DUMMYFUNCTION("""COMPUTED_VALUE"""),"Ubuntu 16.04 LTS / 18.04 LTS / 20.04 LTS / 22.04 LTS / 24.04 LTS : GLib vulnerability (USN-7114-1)")</f>
        <v>Ubuntu 16.04 LTS / 18.04 LTS / 20.04 LTS / 22.04 LTS / 24.04 LTS : GLib vulnerability (USN-7114-1)</v>
      </c>
      <c r="C13" s="21">
        <f>IFERROR(__xludf.DUMMYFUNCTION("""COMPUTED_VALUE"""),6.066666666666667)</f>
        <v>6.066666667</v>
      </c>
      <c r="D13" s="22" t="str">
        <f>IFERROR(__xludf.DUMMYFUNCTION("""COMPUTED_VALUE"""),"10.20.30.12")</f>
        <v>10.20.30.12</v>
      </c>
      <c r="E13" s="22" t="str">
        <f>IFERROR(__xludf.DUMMYFUNCTION("""COMPUTED_VALUE"""),"Update the affected packages.")</f>
        <v>Update the affected packages.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8" t="str">
        <f>IFERROR(__xludf.DUMMYFUNCTION("""COMPUTED_VALUE"""),"212239 - KB5048661")</f>
        <v>212239 - KB5048661</v>
      </c>
      <c r="B14" s="22" t="str">
        <f>IFERROR(__xludf.DUMMYFUNCTION("""COMPUTED_VALUE"""),"Windows 10 version 1809 / Windows Server 2019 Security Update (December 2024)")</f>
        <v>Windows 10 version 1809 / Windows Server 2019 Security Update (December 2024)</v>
      </c>
      <c r="C14" s="21">
        <f>IFERROR(__xludf.DUMMYFUNCTION("""COMPUTED_VALUE"""),5.866666666666667)</f>
        <v>5.866666667</v>
      </c>
      <c r="D14" s="22" t="str">
        <f>IFERROR(__xludf.DUMMYFUNCTION("""COMPUTED_VALUE"""),"10.20.30.11")</f>
        <v>10.20.30.11</v>
      </c>
      <c r="E14" s="22" t="str">
        <f>IFERROR(__xludf.DUMMYFUNCTION("""COMPUTED_VALUE"""),"Apply Security Update 5048661")</f>
        <v>Apply Security Update 5048661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8" t="str">
        <f>IFERROR(__xludf.DUMMYFUNCTION("""COMPUTED_VALUE"""),"58987")</f>
        <v>58987</v>
      </c>
      <c r="B15" s="22" t="str">
        <f>IFERROR(__xludf.DUMMYFUNCTION("""COMPUTED_VALUE"""),"PHP Unsupported Version Detection")</f>
        <v>PHP Unsupported Version Detection</v>
      </c>
      <c r="C15" s="21">
        <f>IFERROR(__xludf.DUMMYFUNCTION("""COMPUTED_VALUE"""),5.666666666666667)</f>
        <v>5.666666667</v>
      </c>
      <c r="D15" s="22" t="str">
        <f>IFERROR(__xludf.DUMMYFUNCTION("""COMPUTED_VALUE"""),"10.20.30.10 (megaquagga.local)")</f>
        <v>10.20.30.10 (megaquagga.local)</v>
      </c>
      <c r="E15" s="22" t="str">
        <f>IFERROR(__xludf.DUMMYFUNCTION("""COMPUTED_VALUE"""),"Upgrade to a version of PHP that is currently supported.")</f>
        <v>Upgrade to a version of PHP that is currently supported.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8" t="str">
        <f>IFERROR(__xludf.DUMMYFUNCTION("""COMPUTED_VALUE"""),"210860 - KB5046615")</f>
        <v>210860 - KB5046615</v>
      </c>
      <c r="B16" s="22" t="str">
        <f>IFERROR(__xludf.DUMMYFUNCTION("""COMPUTED_VALUE"""),"Windows 10 version 1809 / Windows Server 2019 Security Update (November 2024)")</f>
        <v>Windows 10 version 1809 / Windows Server 2019 Security Update (November 2024)</v>
      </c>
      <c r="C16" s="21">
        <f>IFERROR(__xludf.DUMMYFUNCTION("""COMPUTED_VALUE"""),5.6000000000000005)</f>
        <v>5.6</v>
      </c>
      <c r="D16" s="22" t="str">
        <f>IFERROR(__xludf.DUMMYFUNCTION("""COMPUTED_VALUE"""),"10.20.30.11")</f>
        <v>10.20.30.11</v>
      </c>
      <c r="E16" s="22" t="str">
        <f>IFERROR(__xludf.DUMMYFUNCTION("""COMPUTED_VALUE"""),"Apply Security Update 5046615")</f>
        <v>Apply Security Update 5046615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8" t="str">
        <f>IFERROR(__xludf.DUMMYFUNCTION("""COMPUTED_VALUE"""),"208285 - KB5044277")</f>
        <v>208285 - KB5044277</v>
      </c>
      <c r="B17" s="22" t="str">
        <f>IFERROR(__xludf.DUMMYFUNCTION("""COMPUTED_VALUE"""),"Windows 10 version 1809 / Windows Server 2019 Security Update (October 2024)")</f>
        <v>Windows 10 version 1809 / Windows Server 2019 Security Update (October 2024)</v>
      </c>
      <c r="C17" s="21">
        <f>IFERROR(__xludf.DUMMYFUNCTION("""COMPUTED_VALUE"""),5.3999999999999995)</f>
        <v>5.4</v>
      </c>
      <c r="D17" s="22" t="str">
        <f>IFERROR(__xludf.DUMMYFUNCTION("""COMPUTED_VALUE"""),"10.20.30.11")</f>
        <v>10.20.30.11</v>
      </c>
      <c r="E17" s="22" t="str">
        <f>IFERROR(__xludf.DUMMYFUNCTION("""COMPUTED_VALUE"""),"Apply Security Update 5044277")</f>
        <v>Apply Security Update 5044277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8" t="str">
        <f>IFERROR(__xludf.DUMMYFUNCTION("""COMPUTED_VALUE"""),"206898 - KB5043050")</f>
        <v>206898 - KB5043050</v>
      </c>
      <c r="B18" s="22" t="str">
        <f>IFERROR(__xludf.DUMMYFUNCTION("""COMPUTED_VALUE"""),"Windows 10 version 1809 / Windows Server 2019 Security Update (September 2024)")</f>
        <v>Windows 10 version 1809 / Windows Server 2019 Security Update (September 2024)</v>
      </c>
      <c r="C18" s="21">
        <f>IFERROR(__xludf.DUMMYFUNCTION("""COMPUTED_VALUE"""),5.133333333333334)</f>
        <v>5.133333333</v>
      </c>
      <c r="D18" s="22" t="str">
        <f>IFERROR(__xludf.DUMMYFUNCTION("""COMPUTED_VALUE"""),"10.20.30.11")</f>
        <v>10.20.30.11</v>
      </c>
      <c r="E18" s="22" t="str">
        <f>IFERROR(__xludf.DUMMYFUNCTION("""COMPUTED_VALUE"""),"Apply Security Update 5043050")</f>
        <v>Apply Security Update 5043050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8" t="str">
        <f>IFERROR(__xludf.DUMMYFUNCTION("""COMPUTED_VALUE"""),"211671")</f>
        <v>211671</v>
      </c>
      <c r="B19" s="22" t="str">
        <f>IFERROR(__xludf.DUMMYFUNCTION("""COMPUTED_VALUE"""),"PHP 8.2.x &lt; 8.2.26 Multiple Vulnerabilities")</f>
        <v>PHP 8.2.x &lt; 8.2.26 Multiple Vulnerabilities</v>
      </c>
      <c r="C19" s="21">
        <f>IFERROR(__xludf.DUMMYFUNCTION("""COMPUTED_VALUE"""),4.266666666666667)</f>
        <v>4.266666667</v>
      </c>
      <c r="D19" s="22" t="str">
        <f>IFERROR(__xludf.DUMMYFUNCTION("""COMPUTED_VALUE"""),"10.20.30.10 (megaquagga.local)")</f>
        <v>10.20.30.10 (megaquagga.local)</v>
      </c>
      <c r="E19" s="22" t="str">
        <f>IFERROR(__xludf.DUMMYFUNCTION("""COMPUTED_VALUE"""),"Upgrade to PHP version 8.2.26 or later.")</f>
        <v>Upgrade to PHP version 8.2.26 or later.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</sheetData>
  <conditionalFormatting sqref="E1:F1">
    <cfRule type="expression" dxfId="0" priority="1">
      <formula>$B1="Critical"</formula>
    </cfRule>
  </conditionalFormatting>
  <conditionalFormatting sqref="E1:F1">
    <cfRule type="expression" dxfId="1" priority="2">
      <formula>$B1="High"</formula>
    </cfRule>
  </conditionalFormatting>
  <conditionalFormatting sqref="E1:F1">
    <cfRule type="expression" dxfId="2" priority="3">
      <formula>$B1="Medium"</formula>
    </cfRule>
  </conditionalFormatting>
  <conditionalFormatting sqref="E1:F1">
    <cfRule type="expression" dxfId="3" priority="4">
      <formula>$B1="Low"</formula>
    </cfRule>
  </conditionalFormatting>
  <conditionalFormatting sqref="E1:F1">
    <cfRule type="expression" dxfId="4" priority="5">
      <formula>$B1="Informational"</formula>
    </cfRule>
  </conditionalFormatting>
  <conditionalFormatting sqref="C1 E1:F1">
    <cfRule type="colorScale" priority="6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</worksheet>
</file>